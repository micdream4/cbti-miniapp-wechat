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nglu/Documents/CBT-I/工具/"/>
    </mc:Choice>
  </mc:AlternateContent>
  <xr:revisionPtr revIDLastSave="0" documentId="13_ncr:1_{55890EF9-5D6F-9B40-AD46-BE42519F8582}" xr6:coauthVersionLast="47" xr6:coauthVersionMax="47" xr10:uidLastSave="{00000000-0000-0000-0000-000000000000}"/>
  <bookViews>
    <workbookView xWindow="1300" yWindow="760" windowWidth="28100" windowHeight="16980" xr2:uid="{D52A190B-5F02-0744-9F00-536F57F2BCFC}"/>
  </bookViews>
  <sheets>
    <sheet name="睡眠日记" sheetId="1" r:id="rId1"/>
    <sheet name="睡眠卫生自检表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5" i="1" l="1"/>
  <c r="AA86" i="1"/>
  <c r="AA87" i="1"/>
  <c r="AA88" i="1"/>
  <c r="AA89" i="1"/>
  <c r="AA90" i="1"/>
  <c r="AA84" i="1"/>
  <c r="AA73" i="1"/>
  <c r="AA74" i="1"/>
  <c r="AA75" i="1"/>
  <c r="AA76" i="1"/>
  <c r="AA77" i="1"/>
  <c r="AA78" i="1"/>
  <c r="AA72" i="1"/>
  <c r="AA67" i="1"/>
  <c r="Z67" i="1"/>
  <c r="AA61" i="1"/>
  <c r="AA62" i="1"/>
  <c r="AA63" i="1"/>
  <c r="AA64" i="1"/>
  <c r="AA65" i="1"/>
  <c r="AA66" i="1"/>
  <c r="AA60" i="1"/>
  <c r="AA49" i="1"/>
  <c r="AA50" i="1"/>
  <c r="AA51" i="1"/>
  <c r="AA52" i="1"/>
  <c r="AA53" i="1"/>
  <c r="AA54" i="1"/>
  <c r="AA55" i="1"/>
  <c r="AA48" i="1"/>
  <c r="AA37" i="1"/>
  <c r="AA38" i="1"/>
  <c r="AA39" i="1"/>
  <c r="AA40" i="1"/>
  <c r="AA41" i="1"/>
  <c r="AA42" i="1"/>
  <c r="AA43" i="1"/>
  <c r="AA36" i="1"/>
  <c r="AA26" i="1"/>
  <c r="AA27" i="1"/>
  <c r="AA28" i="1"/>
  <c r="AA29" i="1"/>
  <c r="AA30" i="1"/>
  <c r="AA31" i="1"/>
  <c r="AA32" i="1"/>
  <c r="AA25" i="1"/>
  <c r="Z91" i="1" l="1"/>
  <c r="Z79" i="1"/>
  <c r="Z56" i="1"/>
  <c r="Z44" i="1"/>
  <c r="Z43" i="1"/>
  <c r="Z55" i="1"/>
  <c r="Z33" i="1"/>
  <c r="Z32" i="1"/>
  <c r="AA3" i="1"/>
  <c r="AA91" i="1" l="1"/>
  <c r="AA79" i="1"/>
</calcChain>
</file>

<file path=xl/sharedStrings.xml><?xml version="1.0" encoding="utf-8"?>
<sst xmlns="http://schemas.openxmlformats.org/spreadsheetml/2006/main" count="449" uniqueCount="194">
  <si>
    <t>DATE</t>
    <phoneticPr fontId="1" type="noConversion"/>
  </si>
  <si>
    <t>1a</t>
    <phoneticPr fontId="1" type="noConversion"/>
  </si>
  <si>
    <t>2a</t>
    <phoneticPr fontId="1" type="noConversion"/>
  </si>
  <si>
    <t>24a</t>
    <phoneticPr fontId="1" type="noConversion"/>
  </si>
  <si>
    <t>TIB</t>
    <phoneticPr fontId="1" type="noConversion"/>
  </si>
  <si>
    <t>S-E%</t>
    <phoneticPr fontId="1" type="noConversion"/>
  </si>
  <si>
    <t>22p</t>
    <phoneticPr fontId="1" type="noConversion"/>
  </si>
  <si>
    <t>23p</t>
    <phoneticPr fontId="1" type="noConversion"/>
  </si>
  <si>
    <t>3a</t>
    <phoneticPr fontId="1" type="noConversion"/>
  </si>
  <si>
    <t>4a</t>
    <phoneticPr fontId="1" type="noConversion"/>
  </si>
  <si>
    <t>5a</t>
    <phoneticPr fontId="1" type="noConversion"/>
  </si>
  <si>
    <t>6a</t>
    <phoneticPr fontId="1" type="noConversion"/>
  </si>
  <si>
    <t>7a</t>
    <phoneticPr fontId="1" type="noConversion"/>
  </si>
  <si>
    <t>8a</t>
    <phoneticPr fontId="1" type="noConversion"/>
  </si>
  <si>
    <t>9a</t>
    <phoneticPr fontId="1" type="noConversion"/>
  </si>
  <si>
    <t>Example</t>
    <phoneticPr fontId="1" type="noConversion"/>
  </si>
  <si>
    <t>S</t>
    <phoneticPr fontId="1" type="noConversion"/>
  </si>
  <si>
    <t>A</t>
    <phoneticPr fontId="1" type="noConversion"/>
  </si>
  <si>
    <t>Record:</t>
    <phoneticPr fontId="1" type="noConversion"/>
  </si>
  <si>
    <t>Step 1</t>
    <phoneticPr fontId="1" type="noConversion"/>
  </si>
  <si>
    <t>Step 2</t>
    <phoneticPr fontId="1" type="noConversion"/>
  </si>
  <si>
    <t>Step 3</t>
    <phoneticPr fontId="1" type="noConversion"/>
  </si>
  <si>
    <t>Step 4</t>
    <phoneticPr fontId="1" type="noConversion"/>
  </si>
  <si>
    <t>1wk</t>
    <phoneticPr fontId="1" type="noConversion"/>
  </si>
  <si>
    <t>使用窗帘，或者黑色遮挡物来使室内变暗；</t>
    <phoneticPr fontId="1" type="noConversion"/>
  </si>
  <si>
    <t>使用风扇或者白噪声发生器，来制造稳定的背景声音以屏蔽外界噪声；</t>
    <phoneticPr fontId="1" type="noConversion"/>
  </si>
  <si>
    <t>使用眼罩或者耳塞来屏蔽光线和噪声，尤其是和其他人一起睡的时候；</t>
    <phoneticPr fontId="1" type="noConversion"/>
  </si>
  <si>
    <t>将电视和其他带屏幕的电子产品（电脑，手机，平板，游戏机等）从卧室中移除；</t>
    <phoneticPr fontId="1" type="noConversion"/>
  </si>
  <si>
    <t>在晚上限制吸烟和饮酒</t>
    <phoneticPr fontId="1" type="noConversion"/>
  </si>
  <si>
    <t>在白天运动，而不是在临睡前；在睡前进行轻量的运动,在临睡前4小时避免剧烈运动</t>
    <phoneticPr fontId="1" type="noConversion"/>
  </si>
  <si>
    <t>运动</t>
    <phoneticPr fontId="1" type="noConversion"/>
  </si>
  <si>
    <t>咖啡因</t>
    <phoneticPr fontId="1" type="noConversion"/>
  </si>
  <si>
    <t>饮食</t>
    <phoneticPr fontId="1" type="noConversion"/>
  </si>
  <si>
    <t>环境</t>
    <phoneticPr fontId="1" type="noConversion"/>
  </si>
  <si>
    <t>将闹钟移出卧室</t>
  </si>
  <si>
    <t>其他</t>
    <phoneticPr fontId="1" type="noConversion"/>
  </si>
  <si>
    <t>小睡</t>
    <phoneticPr fontId="1" type="noConversion"/>
  </si>
  <si>
    <t>避免白天小睡</t>
    <phoneticPr fontId="1" type="noConversion"/>
  </si>
  <si>
    <t>睡前习惯：建立一套放松的睡前仪式，如阅读或沐浴。</t>
  </si>
  <si>
    <t>day 1</t>
    <phoneticPr fontId="1" type="noConversion"/>
  </si>
  <si>
    <t>day 2</t>
  </si>
  <si>
    <t>day 3</t>
  </si>
  <si>
    <t>day 4</t>
  </si>
  <si>
    <t>day 5</t>
  </si>
  <si>
    <t>day 6</t>
  </si>
  <si>
    <t>day 7</t>
  </si>
  <si>
    <t>v</t>
    <phoneticPr fontId="1" type="noConversion"/>
  </si>
  <si>
    <t>na</t>
    <phoneticPr fontId="1" type="noConversion"/>
  </si>
  <si>
    <t>x 奶茶</t>
    <phoneticPr fontId="1" type="noConversion"/>
  </si>
  <si>
    <t>x 手机</t>
    <phoneticPr fontId="1" type="noConversion"/>
  </si>
  <si>
    <t>习惯</t>
    <phoneticPr fontId="1" type="noConversion"/>
  </si>
  <si>
    <t>x 刷手机</t>
    <phoneticPr fontId="1" type="noConversion"/>
  </si>
  <si>
    <t>self evaluation</t>
    <phoneticPr fontId="1" type="noConversion"/>
  </si>
  <si>
    <t>Good</t>
    <phoneticPr fontId="1" type="noConversion"/>
  </si>
  <si>
    <t>v 18:00散步</t>
    <phoneticPr fontId="1" type="noConversion"/>
  </si>
  <si>
    <t>光照</t>
    <phoneticPr fontId="1" type="noConversion"/>
  </si>
  <si>
    <t>早上进行20分钟户外阳光照射</t>
    <phoneticPr fontId="1" type="noConversion"/>
  </si>
  <si>
    <t>v 下午坐窗边</t>
    <phoneticPr fontId="1" type="noConversion"/>
  </si>
  <si>
    <t>日期</t>
    <phoneticPr fontId="1" type="noConversion"/>
  </si>
  <si>
    <t>22pm</t>
    <phoneticPr fontId="1" type="noConversion"/>
  </si>
  <si>
    <t>23pm</t>
    <phoneticPr fontId="1" type="noConversion"/>
  </si>
  <si>
    <t>24am</t>
    <phoneticPr fontId="1" type="noConversion"/>
  </si>
  <si>
    <t>1am</t>
    <phoneticPr fontId="1" type="noConversion"/>
  </si>
  <si>
    <t>2am</t>
    <phoneticPr fontId="1" type="noConversion"/>
  </si>
  <si>
    <t>3am</t>
    <phoneticPr fontId="1" type="noConversion"/>
  </si>
  <si>
    <t>4am</t>
    <phoneticPr fontId="1" type="noConversion"/>
  </si>
  <si>
    <t>5am</t>
    <phoneticPr fontId="1" type="noConversion"/>
  </si>
  <si>
    <t>6am</t>
    <phoneticPr fontId="1" type="noConversion"/>
  </si>
  <si>
    <t>7am</t>
    <phoneticPr fontId="1" type="noConversion"/>
  </si>
  <si>
    <t>8am</t>
    <phoneticPr fontId="1" type="noConversion"/>
  </si>
  <si>
    <t>9am</t>
    <phoneticPr fontId="1" type="noConversion"/>
  </si>
  <si>
    <t>类目</t>
    <phoneticPr fontId="1" type="noConversion"/>
  </si>
  <si>
    <t>自检清单</t>
    <phoneticPr fontId="1" type="noConversion"/>
  </si>
  <si>
    <t>在下午或晚上限制咖啡因的摄入, 包括可乐，能量饮料，咖啡和茶，巧克力等</t>
    <phoneticPr fontId="1" type="noConversion"/>
  </si>
  <si>
    <t>只用你的床来睡觉和X活动，而不是干其他事情。读书，玩电脑，看电视等活动去另外的房间。</t>
    <phoneticPr fontId="1" type="noConversion"/>
  </si>
  <si>
    <t>wk02</t>
    <phoneticPr fontId="1" type="noConversion"/>
  </si>
  <si>
    <t>day 8</t>
    <phoneticPr fontId="1" type="noConversion"/>
  </si>
  <si>
    <t>day 9</t>
  </si>
  <si>
    <t>day 10</t>
  </si>
  <si>
    <t>day 11</t>
  </si>
  <si>
    <t>day 12</t>
  </si>
  <si>
    <t>day 13</t>
  </si>
  <si>
    <t>day 14</t>
  </si>
  <si>
    <t>wk01</t>
    <phoneticPr fontId="1" type="noConversion"/>
  </si>
  <si>
    <t>fair</t>
    <phoneticPr fontId="1" type="noConversion"/>
  </si>
  <si>
    <t>poor</t>
    <phoneticPr fontId="1" type="noConversion"/>
  </si>
  <si>
    <t>Day 1</t>
    <phoneticPr fontId="1" type="noConversion"/>
  </si>
  <si>
    <t>Day 2</t>
    <phoneticPr fontId="1" type="noConversion"/>
  </si>
  <si>
    <t>Day 3</t>
    <phoneticPr fontId="1" type="noConversion"/>
  </si>
  <si>
    <t>Day 4</t>
    <phoneticPr fontId="1" type="noConversion"/>
  </si>
  <si>
    <t>Day 5</t>
    <phoneticPr fontId="1" type="noConversion"/>
  </si>
  <si>
    <t>Day 6</t>
    <phoneticPr fontId="1" type="noConversion"/>
  </si>
  <si>
    <t>Day 7</t>
    <phoneticPr fontId="1" type="noConversion"/>
  </si>
  <si>
    <t>very poor</t>
    <phoneticPr fontId="1" type="noConversion"/>
  </si>
  <si>
    <t>good</t>
    <phoneticPr fontId="1" type="noConversion"/>
  </si>
  <si>
    <t>Summary</t>
    <phoneticPr fontId="1" type="noConversion"/>
  </si>
  <si>
    <t>Day 8</t>
    <phoneticPr fontId="1" type="noConversion"/>
  </si>
  <si>
    <t>Day 9</t>
    <phoneticPr fontId="1" type="noConversion"/>
  </si>
  <si>
    <t>Day 10</t>
    <phoneticPr fontId="1" type="noConversion"/>
  </si>
  <si>
    <t>Day 11</t>
    <phoneticPr fontId="1" type="noConversion"/>
  </si>
  <si>
    <t>Day 12</t>
    <phoneticPr fontId="1" type="noConversion"/>
  </si>
  <si>
    <t>Day 13</t>
    <phoneticPr fontId="1" type="noConversion"/>
  </si>
  <si>
    <t>Day 14</t>
    <phoneticPr fontId="1" type="noConversion"/>
  </si>
  <si>
    <t>wk03</t>
    <phoneticPr fontId="1" type="noConversion"/>
  </si>
  <si>
    <t>day 15</t>
    <phoneticPr fontId="1" type="noConversion"/>
  </si>
  <si>
    <t>Day 15</t>
    <phoneticPr fontId="1" type="noConversion"/>
  </si>
  <si>
    <t>Day 16</t>
    <phoneticPr fontId="1" type="noConversion"/>
  </si>
  <si>
    <t>Day 17</t>
    <phoneticPr fontId="1" type="noConversion"/>
  </si>
  <si>
    <t>Day 18</t>
    <phoneticPr fontId="1" type="noConversion"/>
  </si>
  <si>
    <t>Day 19</t>
    <phoneticPr fontId="1" type="noConversion"/>
  </si>
  <si>
    <t>Day 20</t>
    <phoneticPr fontId="1" type="noConversion"/>
  </si>
  <si>
    <t>Day 21</t>
    <phoneticPr fontId="1" type="noConversion"/>
  </si>
  <si>
    <t>day 16</t>
    <phoneticPr fontId="1" type="noConversion"/>
  </si>
  <si>
    <t>day 17</t>
    <phoneticPr fontId="1" type="noConversion"/>
  </si>
  <si>
    <t>day 18</t>
    <phoneticPr fontId="1" type="noConversion"/>
  </si>
  <si>
    <t>day 19</t>
    <phoneticPr fontId="1" type="noConversion"/>
  </si>
  <si>
    <t>day 22</t>
    <phoneticPr fontId="1" type="noConversion"/>
  </si>
  <si>
    <t>day 21</t>
    <phoneticPr fontId="1" type="noConversion"/>
  </si>
  <si>
    <t>day 20</t>
    <phoneticPr fontId="1" type="noConversion"/>
  </si>
  <si>
    <t>day 23</t>
  </si>
  <si>
    <t>day 24</t>
  </si>
  <si>
    <t>day 25</t>
  </si>
  <si>
    <t>day 26</t>
  </si>
  <si>
    <t>day 27</t>
  </si>
  <si>
    <t>day 28</t>
  </si>
  <si>
    <t>wk04</t>
    <phoneticPr fontId="1" type="noConversion"/>
  </si>
  <si>
    <t>Day 22</t>
    <phoneticPr fontId="1" type="noConversion"/>
  </si>
  <si>
    <t>Day 23</t>
    <phoneticPr fontId="1" type="noConversion"/>
  </si>
  <si>
    <t>Day 24</t>
    <phoneticPr fontId="1" type="noConversion"/>
  </si>
  <si>
    <t>Day 25</t>
    <phoneticPr fontId="1" type="noConversion"/>
  </si>
  <si>
    <t>Day 26</t>
    <phoneticPr fontId="1" type="noConversion"/>
  </si>
  <si>
    <t>Day 27</t>
    <phoneticPr fontId="1" type="noConversion"/>
  </si>
  <si>
    <t>Day 28</t>
    <phoneticPr fontId="1" type="noConversion"/>
  </si>
  <si>
    <t>Step 5</t>
    <phoneticPr fontId="1" type="noConversion"/>
  </si>
  <si>
    <t>day 29</t>
  </si>
  <si>
    <t>day 30</t>
  </si>
  <si>
    <t>day 31</t>
  </si>
  <si>
    <t>day 32</t>
  </si>
  <si>
    <t>day 33</t>
  </si>
  <si>
    <t>day 34</t>
  </si>
  <si>
    <t>day 35</t>
  </si>
  <si>
    <t>Day 29</t>
    <phoneticPr fontId="1" type="noConversion"/>
  </si>
  <si>
    <t>Day 30</t>
    <phoneticPr fontId="1" type="noConversion"/>
  </si>
  <si>
    <t>Day 31</t>
    <phoneticPr fontId="1" type="noConversion"/>
  </si>
  <si>
    <t>Day 32</t>
    <phoneticPr fontId="1" type="noConversion"/>
  </si>
  <si>
    <t>Day 33</t>
    <phoneticPr fontId="1" type="noConversion"/>
  </si>
  <si>
    <t>Day 34</t>
    <phoneticPr fontId="1" type="noConversion"/>
  </si>
  <si>
    <t>Day 35</t>
    <phoneticPr fontId="1" type="noConversion"/>
  </si>
  <si>
    <t>wk06</t>
    <phoneticPr fontId="1" type="noConversion"/>
  </si>
  <si>
    <t>wk05</t>
    <phoneticPr fontId="1" type="noConversion"/>
  </si>
  <si>
    <t>day 36</t>
  </si>
  <si>
    <t>day 37</t>
  </si>
  <si>
    <t>day 38</t>
  </si>
  <si>
    <t>day 39</t>
  </si>
  <si>
    <t>day 40</t>
  </si>
  <si>
    <t>day 41</t>
  </si>
  <si>
    <t>Step 6</t>
    <phoneticPr fontId="1" type="noConversion"/>
  </si>
  <si>
    <t>备注：</t>
    <phoneticPr fontId="1" type="noConversion"/>
  </si>
  <si>
    <t>睡眠卫生自检表</t>
    <phoneticPr fontId="1" type="noConversion"/>
  </si>
  <si>
    <t>天数</t>
    <phoneticPr fontId="1" type="noConversion"/>
  </si>
  <si>
    <r>
      <t>将室内调到</t>
    </r>
    <r>
      <rPr>
        <b/>
        <sz val="12"/>
        <color rgb="FF060607"/>
        <rFont val="Calibri"/>
        <family val="2"/>
      </rPr>
      <t>15-20</t>
    </r>
    <r>
      <rPr>
        <b/>
        <sz val="12"/>
        <color rgb="FF060607"/>
        <rFont val="Microsoft YaHei"/>
        <family val="2"/>
        <charset val="134"/>
      </rPr>
      <t>℃的舒适温度</t>
    </r>
    <phoneticPr fontId="1" type="noConversion"/>
  </si>
  <si>
    <r>
      <t>如果满足清单选项要求，即打</t>
    </r>
    <r>
      <rPr>
        <sz val="12"/>
        <color theme="1"/>
        <rFont val="Apple Color Emoji"/>
        <family val="2"/>
      </rPr>
      <t>✅</t>
    </r>
    <r>
      <rPr>
        <sz val="12"/>
        <color theme="1"/>
        <rFont val="SimSun"/>
        <family val="2"/>
        <charset val="134"/>
      </rPr>
      <t>；</t>
    </r>
    <phoneticPr fontId="1" type="noConversion"/>
  </si>
  <si>
    <r>
      <t>如果不满足清单选项要求，即打</t>
    </r>
    <r>
      <rPr>
        <sz val="12"/>
        <color theme="1"/>
        <rFont val="Apple Color Emoji"/>
        <family val="2"/>
      </rPr>
      <t>❌</t>
    </r>
    <r>
      <rPr>
        <sz val="12"/>
        <color theme="1"/>
        <rFont val="SimSun"/>
        <family val="2"/>
        <charset val="134"/>
      </rPr>
      <t>；</t>
    </r>
    <phoneticPr fontId="1" type="noConversion"/>
  </si>
  <si>
    <t>可在对应清单选项后面，添加具体时间，做了什么，以便更好的追踪细节；</t>
    <phoneticPr fontId="1" type="noConversion"/>
  </si>
  <si>
    <t>WK01 - 睡眠卫生 &amp; 睡眠日记</t>
    <phoneticPr fontId="1" type="noConversion"/>
  </si>
  <si>
    <t>WK02 - 睡眠限制</t>
    <phoneticPr fontId="1" type="noConversion"/>
  </si>
  <si>
    <t>WK03 - 睡眠限制 + 刺激控制</t>
    <phoneticPr fontId="1" type="noConversion"/>
  </si>
  <si>
    <t>WK04 - 睡眠限制 + 刺激控制 + 放松技巧</t>
    <phoneticPr fontId="1" type="noConversion"/>
  </si>
  <si>
    <t>WK05 - 睡眠限制 + 刺激控制 + 放松技巧 + 焦虑管理</t>
    <phoneticPr fontId="1" type="noConversion"/>
  </si>
  <si>
    <t>WK06 - 睡眠限制 + 刺激控制 + 放松技巧 + 焦虑管理</t>
    <phoneticPr fontId="1" type="noConversion"/>
  </si>
  <si>
    <t>第一步</t>
    <phoneticPr fontId="1" type="noConversion"/>
  </si>
  <si>
    <t>CBT-I 5大步骤:</t>
    <phoneticPr fontId="1" type="noConversion"/>
  </si>
  <si>
    <t>第二步</t>
    <phoneticPr fontId="1" type="noConversion"/>
  </si>
  <si>
    <t>第四步</t>
    <phoneticPr fontId="1" type="noConversion"/>
  </si>
  <si>
    <t>第三步</t>
    <phoneticPr fontId="1" type="noConversion"/>
  </si>
  <si>
    <t>第五步</t>
    <phoneticPr fontId="1" type="noConversion"/>
  </si>
  <si>
    <t>睡眠卫生记录</t>
    <phoneticPr fontId="1" type="noConversion"/>
  </si>
  <si>
    <t>睡眠限制</t>
    <phoneticPr fontId="1" type="noConversion"/>
  </si>
  <si>
    <t>刺激控制</t>
    <phoneticPr fontId="1" type="noConversion"/>
  </si>
  <si>
    <t>放松技巧</t>
    <phoneticPr fontId="1" type="noConversion"/>
  </si>
  <si>
    <t>焦虑管理</t>
    <phoneticPr fontId="1" type="noConversion"/>
  </si>
  <si>
    <t>CBT-I  睡眠日记</t>
    <phoneticPr fontId="1" type="noConversion"/>
  </si>
  <si>
    <t>1-3wk</t>
    <phoneticPr fontId="1" type="noConversion"/>
  </si>
  <si>
    <t>HRS</t>
    <phoneticPr fontId="1" type="noConversion"/>
  </si>
  <si>
    <t>红色向下箭头表示晚上上床时间；</t>
    <phoneticPr fontId="1" type="noConversion"/>
  </si>
  <si>
    <t>绿色向上箭头表示早上起床时间；</t>
    <phoneticPr fontId="1" type="noConversion"/>
  </si>
  <si>
    <t>Awake, 表示躺在床上清醒的时间；</t>
    <phoneticPr fontId="1" type="noConversion"/>
  </si>
  <si>
    <t>Sleep, 表示睡着的时间；</t>
    <phoneticPr fontId="1" type="noConversion"/>
  </si>
  <si>
    <t>表示醒来后从床上起来的时间；</t>
    <phoneticPr fontId="1" type="noConversion"/>
  </si>
  <si>
    <t>总计睡着的时间</t>
    <phoneticPr fontId="1" type="noConversion"/>
  </si>
  <si>
    <t>躺在床上的总时间</t>
    <phoneticPr fontId="1" type="noConversion"/>
  </si>
  <si>
    <t>睡眠效率，即 HRS/TIB*100%</t>
    <phoneticPr fontId="1" type="noConversion"/>
  </si>
  <si>
    <t>标注：</t>
    <phoneticPr fontId="1" type="noConversion"/>
  </si>
  <si>
    <t>白色区域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</si>
</sst>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%"/>
  </numFmts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4"/>
      <color theme="1"/>
      <name val="等线"/>
      <family val="4"/>
      <charset val="134"/>
      <scheme val="minor"/>
    </font>
    <font>
      <b/>
      <sz val="18"/>
      <color theme="1"/>
      <name val="等线"/>
      <family val="4"/>
      <charset val="134"/>
      <scheme val="minor"/>
    </font>
    <font>
      <b/>
      <sz val="12"/>
      <color rgb="FFC00000"/>
      <name val="等线"/>
      <family val="4"/>
      <charset val="134"/>
      <scheme val="minor"/>
    </font>
    <font>
      <b/>
      <sz val="14"/>
      <color rgb="FFC00000"/>
      <name val="等线"/>
      <family val="4"/>
      <charset val="134"/>
      <scheme val="minor"/>
    </font>
    <font>
      <b/>
      <sz val="12"/>
      <color theme="3" tint="0.249977111117893"/>
      <name val="等线"/>
      <family val="4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1"/>
      <name val="Apple Color Emoji"/>
      <family val="2"/>
    </font>
    <font>
      <sz val="12"/>
      <color theme="1"/>
      <name val="SimSun"/>
      <family val="2"/>
      <charset val="134"/>
    </font>
    <font>
      <b/>
      <sz val="16"/>
      <color theme="1"/>
      <name val="等线"/>
      <family val="4"/>
      <charset val="134"/>
      <scheme val="minor"/>
    </font>
    <font>
      <b/>
      <sz val="12"/>
      <color rgb="FF0070C0"/>
      <name val="等线"/>
      <family val="4"/>
      <charset val="134"/>
      <scheme val="minor"/>
    </font>
    <font>
      <b/>
      <sz val="12"/>
      <color rgb="FF060607"/>
      <name val="Microsoft YaHei"/>
      <family val="2"/>
      <charset val="134"/>
    </font>
    <font>
      <b/>
      <sz val="12"/>
      <color rgb="FF06060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176" fontId="0" fillId="0" borderId="1" xfId="0" applyNumberFormat="1" applyBorder="1" applyAlignment="1">
      <alignment horizontal="left" vertical="center"/>
    </xf>
    <xf numFmtId="177" fontId="0" fillId="0" borderId="1" xfId="0" applyNumberFormat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14" fontId="0" fillId="0" borderId="1" xfId="0" applyNumberFormat="1" applyBorder="1" applyAlignment="1">
      <alignment horizontal="left" vertical="center"/>
    </xf>
    <xf numFmtId="0" fontId="3" fillId="0" borderId="0" xfId="0" applyFont="1">
      <alignment vertical="center"/>
    </xf>
    <xf numFmtId="176" fontId="7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58" fontId="0" fillId="0" borderId="0" xfId="0" applyNumberFormat="1">
      <alignment vertical="center"/>
    </xf>
    <xf numFmtId="0" fontId="6" fillId="0" borderId="1" xfId="0" applyFont="1" applyBorder="1">
      <alignment vertical="center"/>
    </xf>
    <xf numFmtId="176" fontId="5" fillId="0" borderId="1" xfId="0" applyNumberFormat="1" applyFont="1" applyBorder="1" applyAlignment="1">
      <alignment horizontal="left" vertical="center"/>
    </xf>
    <xf numFmtId="177" fontId="5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5" borderId="1" xfId="0" applyNumberFormat="1" applyFill="1" applyBorder="1" applyAlignment="1">
      <alignment horizontal="left" vertical="center"/>
    </xf>
    <xf numFmtId="0" fontId="8" fillId="0" borderId="1" xfId="0" applyFont="1" applyBorder="1">
      <alignment vertical="center"/>
    </xf>
    <xf numFmtId="0" fontId="12" fillId="0" borderId="1" xfId="0" applyFont="1" applyBorder="1">
      <alignment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77" fontId="0" fillId="0" borderId="1" xfId="0" applyNumberForma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238759</xdr:colOff>
      <xdr:row>2</xdr:row>
      <xdr:rowOff>12700</xdr:rowOff>
    </xdr:from>
    <xdr:to>
      <xdr:col>6</xdr:col>
      <xdr:colOff>53340</xdr:colOff>
      <xdr:row>3</xdr:row>
      <xdr:rowOff>0</xdr:rowOff>
    </xdr:to>
    <xdr:sp macro="" textlink="">
      <xdr:nvSpPr>
        <xdr:cNvPr id="2" name="下箭头 1">
          <a:extLst>
            <a:ext uri="{FF2B5EF4-FFF2-40B4-BE49-F238E27FC236}">
              <a16:creationId xmlns:a16="http://schemas.microsoft.com/office/drawing/2014/main" id="{13C8C8E1-A086-6595-735D-07A3400A46F1}"/>
            </a:ext>
          </a:extLst>
        </xdr:cNvPr>
        <xdr:cNvSpPr/>
      </xdr:nvSpPr>
      <xdr:spPr>
        <a:xfrm flipH="1">
          <a:off x="2402839" y="510540"/>
          <a:ext cx="109221" cy="190500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243840</xdr:colOff>
      <xdr:row>2</xdr:row>
      <xdr:rowOff>0</xdr:rowOff>
    </xdr:from>
    <xdr:to>
      <xdr:col>21</xdr:col>
      <xdr:colOff>66040</xdr:colOff>
      <xdr:row>3</xdr:row>
      <xdr:rowOff>0</xdr:rowOff>
    </xdr:to>
    <xdr:sp macro="" textlink="">
      <xdr:nvSpPr>
        <xdr:cNvPr id="3" name="上箭头 2">
          <a:extLst>
            <a:ext uri="{FF2B5EF4-FFF2-40B4-BE49-F238E27FC236}">
              <a16:creationId xmlns:a16="http://schemas.microsoft.com/office/drawing/2014/main" id="{819A45CA-7D7D-F2EC-56D3-C6D185527773}"/>
            </a:ext>
          </a:extLst>
        </xdr:cNvPr>
        <xdr:cNvSpPr/>
      </xdr:nvSpPr>
      <xdr:spPr>
        <a:xfrm>
          <a:off x="6827520" y="497840"/>
          <a:ext cx="116840" cy="215900"/>
        </a:xfrm>
        <a:prstGeom prst="up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238759</xdr:colOff>
      <xdr:row>47</xdr:row>
      <xdr:rowOff>12700</xdr:rowOff>
    </xdr:from>
    <xdr:to>
      <xdr:col>6</xdr:col>
      <xdr:colOff>53340</xdr:colOff>
      <xdr:row>48</xdr:row>
      <xdr:rowOff>0</xdr:rowOff>
    </xdr:to>
    <xdr:sp macro="" textlink="">
      <xdr:nvSpPr>
        <xdr:cNvPr id="33" name="下箭头 32">
          <a:extLst>
            <a:ext uri="{FF2B5EF4-FFF2-40B4-BE49-F238E27FC236}">
              <a16:creationId xmlns:a16="http://schemas.microsoft.com/office/drawing/2014/main" id="{EE055309-5D0F-904D-96BF-F2FF2332F163}"/>
            </a:ext>
          </a:extLst>
        </xdr:cNvPr>
        <xdr:cNvSpPr/>
      </xdr:nvSpPr>
      <xdr:spPr>
        <a:xfrm flipH="1">
          <a:off x="2402839" y="12743180"/>
          <a:ext cx="109221" cy="190500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238759</xdr:colOff>
      <xdr:row>24</xdr:row>
      <xdr:rowOff>12700</xdr:rowOff>
    </xdr:from>
    <xdr:to>
      <xdr:col>6</xdr:col>
      <xdr:colOff>53340</xdr:colOff>
      <xdr:row>25</xdr:row>
      <xdr:rowOff>0</xdr:rowOff>
    </xdr:to>
    <xdr:sp macro="" textlink="">
      <xdr:nvSpPr>
        <xdr:cNvPr id="95" name="下箭头 94">
          <a:extLst>
            <a:ext uri="{FF2B5EF4-FFF2-40B4-BE49-F238E27FC236}">
              <a16:creationId xmlns:a16="http://schemas.microsoft.com/office/drawing/2014/main" id="{D1840B2F-B0C5-3243-8C2B-D6CEE47A4B87}"/>
            </a:ext>
          </a:extLst>
        </xdr:cNvPr>
        <xdr:cNvSpPr/>
      </xdr:nvSpPr>
      <xdr:spPr>
        <a:xfrm flipH="1">
          <a:off x="2149281" y="498613"/>
          <a:ext cx="101711" cy="186083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243840</xdr:colOff>
      <xdr:row>24</xdr:row>
      <xdr:rowOff>0</xdr:rowOff>
    </xdr:from>
    <xdr:to>
      <xdr:col>21</xdr:col>
      <xdr:colOff>66040</xdr:colOff>
      <xdr:row>25</xdr:row>
      <xdr:rowOff>12700</xdr:rowOff>
    </xdr:to>
    <xdr:sp macro="" textlink="">
      <xdr:nvSpPr>
        <xdr:cNvPr id="96" name="上箭头 95">
          <a:extLst>
            <a:ext uri="{FF2B5EF4-FFF2-40B4-BE49-F238E27FC236}">
              <a16:creationId xmlns:a16="http://schemas.microsoft.com/office/drawing/2014/main" id="{6DF1AF2F-E83E-9F4B-9E27-027B95F97A30}"/>
            </a:ext>
          </a:extLst>
        </xdr:cNvPr>
        <xdr:cNvSpPr/>
      </xdr:nvSpPr>
      <xdr:spPr>
        <a:xfrm>
          <a:off x="6461318" y="485913"/>
          <a:ext cx="109331" cy="211483"/>
        </a:xfrm>
        <a:prstGeom prst="up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238759</xdr:colOff>
      <xdr:row>35</xdr:row>
      <xdr:rowOff>12700</xdr:rowOff>
    </xdr:from>
    <xdr:to>
      <xdr:col>6</xdr:col>
      <xdr:colOff>53340</xdr:colOff>
      <xdr:row>36</xdr:row>
      <xdr:rowOff>0</xdr:rowOff>
    </xdr:to>
    <xdr:sp macro="" textlink="">
      <xdr:nvSpPr>
        <xdr:cNvPr id="97" name="下箭头 96">
          <a:extLst>
            <a:ext uri="{FF2B5EF4-FFF2-40B4-BE49-F238E27FC236}">
              <a16:creationId xmlns:a16="http://schemas.microsoft.com/office/drawing/2014/main" id="{5C430F30-A8C9-AD46-BC7B-8DB946C83C9D}"/>
            </a:ext>
          </a:extLst>
        </xdr:cNvPr>
        <xdr:cNvSpPr/>
      </xdr:nvSpPr>
      <xdr:spPr>
        <a:xfrm flipH="1">
          <a:off x="2149281" y="498613"/>
          <a:ext cx="101711" cy="186083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243840</xdr:colOff>
      <xdr:row>35</xdr:row>
      <xdr:rowOff>0</xdr:rowOff>
    </xdr:from>
    <xdr:to>
      <xdr:col>21</xdr:col>
      <xdr:colOff>66040</xdr:colOff>
      <xdr:row>36</xdr:row>
      <xdr:rowOff>12700</xdr:rowOff>
    </xdr:to>
    <xdr:sp macro="" textlink="">
      <xdr:nvSpPr>
        <xdr:cNvPr id="98" name="上箭头 97">
          <a:extLst>
            <a:ext uri="{FF2B5EF4-FFF2-40B4-BE49-F238E27FC236}">
              <a16:creationId xmlns:a16="http://schemas.microsoft.com/office/drawing/2014/main" id="{E6631357-A392-C749-A6AB-595E0AF1256B}"/>
            </a:ext>
          </a:extLst>
        </xdr:cNvPr>
        <xdr:cNvSpPr/>
      </xdr:nvSpPr>
      <xdr:spPr>
        <a:xfrm>
          <a:off x="6461318" y="485913"/>
          <a:ext cx="109331" cy="211483"/>
        </a:xfrm>
        <a:prstGeom prst="up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243840</xdr:colOff>
      <xdr:row>47</xdr:row>
      <xdr:rowOff>0</xdr:rowOff>
    </xdr:from>
    <xdr:to>
      <xdr:col>21</xdr:col>
      <xdr:colOff>66040</xdr:colOff>
      <xdr:row>48</xdr:row>
      <xdr:rowOff>12700</xdr:rowOff>
    </xdr:to>
    <xdr:sp macro="" textlink="">
      <xdr:nvSpPr>
        <xdr:cNvPr id="100" name="上箭头 99">
          <a:extLst>
            <a:ext uri="{FF2B5EF4-FFF2-40B4-BE49-F238E27FC236}">
              <a16:creationId xmlns:a16="http://schemas.microsoft.com/office/drawing/2014/main" id="{2A3E8B8C-90B1-8649-99CC-52AB5184160B}"/>
            </a:ext>
          </a:extLst>
        </xdr:cNvPr>
        <xdr:cNvSpPr/>
      </xdr:nvSpPr>
      <xdr:spPr>
        <a:xfrm>
          <a:off x="6461318" y="7542696"/>
          <a:ext cx="109331" cy="211482"/>
        </a:xfrm>
        <a:prstGeom prst="up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238759</xdr:colOff>
      <xdr:row>59</xdr:row>
      <xdr:rowOff>12700</xdr:rowOff>
    </xdr:from>
    <xdr:to>
      <xdr:col>6</xdr:col>
      <xdr:colOff>53340</xdr:colOff>
      <xdr:row>60</xdr:row>
      <xdr:rowOff>0</xdr:rowOff>
    </xdr:to>
    <xdr:sp macro="" textlink="">
      <xdr:nvSpPr>
        <xdr:cNvPr id="101" name="下箭头 100">
          <a:extLst>
            <a:ext uri="{FF2B5EF4-FFF2-40B4-BE49-F238E27FC236}">
              <a16:creationId xmlns:a16="http://schemas.microsoft.com/office/drawing/2014/main" id="{8CF75E95-ABDF-B947-A100-286F393BB858}"/>
            </a:ext>
          </a:extLst>
        </xdr:cNvPr>
        <xdr:cNvSpPr/>
      </xdr:nvSpPr>
      <xdr:spPr>
        <a:xfrm flipH="1">
          <a:off x="2149281" y="9973917"/>
          <a:ext cx="101711" cy="186083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243840</xdr:colOff>
      <xdr:row>59</xdr:row>
      <xdr:rowOff>0</xdr:rowOff>
    </xdr:from>
    <xdr:to>
      <xdr:col>21</xdr:col>
      <xdr:colOff>66040</xdr:colOff>
      <xdr:row>60</xdr:row>
      <xdr:rowOff>12700</xdr:rowOff>
    </xdr:to>
    <xdr:sp macro="" textlink="">
      <xdr:nvSpPr>
        <xdr:cNvPr id="102" name="上箭头 101">
          <a:extLst>
            <a:ext uri="{FF2B5EF4-FFF2-40B4-BE49-F238E27FC236}">
              <a16:creationId xmlns:a16="http://schemas.microsoft.com/office/drawing/2014/main" id="{CACFE5AA-E349-4649-A3F5-FA068FD78320}"/>
            </a:ext>
          </a:extLst>
        </xdr:cNvPr>
        <xdr:cNvSpPr/>
      </xdr:nvSpPr>
      <xdr:spPr>
        <a:xfrm>
          <a:off x="6461318" y="9961217"/>
          <a:ext cx="109331" cy="211483"/>
        </a:xfrm>
        <a:prstGeom prst="up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238759</xdr:colOff>
      <xdr:row>71</xdr:row>
      <xdr:rowOff>12700</xdr:rowOff>
    </xdr:from>
    <xdr:to>
      <xdr:col>6</xdr:col>
      <xdr:colOff>53340</xdr:colOff>
      <xdr:row>72</xdr:row>
      <xdr:rowOff>0</xdr:rowOff>
    </xdr:to>
    <xdr:sp macro="" textlink="">
      <xdr:nvSpPr>
        <xdr:cNvPr id="103" name="下箭头 102">
          <a:extLst>
            <a:ext uri="{FF2B5EF4-FFF2-40B4-BE49-F238E27FC236}">
              <a16:creationId xmlns:a16="http://schemas.microsoft.com/office/drawing/2014/main" id="{80608571-46FE-1B48-A726-23A2502D2E6B}"/>
            </a:ext>
          </a:extLst>
        </xdr:cNvPr>
        <xdr:cNvSpPr/>
      </xdr:nvSpPr>
      <xdr:spPr>
        <a:xfrm flipH="1">
          <a:off x="2149281" y="9973917"/>
          <a:ext cx="101711" cy="186083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243840</xdr:colOff>
      <xdr:row>71</xdr:row>
      <xdr:rowOff>0</xdr:rowOff>
    </xdr:from>
    <xdr:to>
      <xdr:col>21</xdr:col>
      <xdr:colOff>66040</xdr:colOff>
      <xdr:row>72</xdr:row>
      <xdr:rowOff>12700</xdr:rowOff>
    </xdr:to>
    <xdr:sp macro="" textlink="">
      <xdr:nvSpPr>
        <xdr:cNvPr id="104" name="上箭头 103">
          <a:extLst>
            <a:ext uri="{FF2B5EF4-FFF2-40B4-BE49-F238E27FC236}">
              <a16:creationId xmlns:a16="http://schemas.microsoft.com/office/drawing/2014/main" id="{A6418012-2546-374A-B797-60C15F620E37}"/>
            </a:ext>
          </a:extLst>
        </xdr:cNvPr>
        <xdr:cNvSpPr/>
      </xdr:nvSpPr>
      <xdr:spPr>
        <a:xfrm>
          <a:off x="6461318" y="9961217"/>
          <a:ext cx="109331" cy="211483"/>
        </a:xfrm>
        <a:prstGeom prst="up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238759</xdr:colOff>
      <xdr:row>83</xdr:row>
      <xdr:rowOff>12700</xdr:rowOff>
    </xdr:from>
    <xdr:to>
      <xdr:col>6</xdr:col>
      <xdr:colOff>53340</xdr:colOff>
      <xdr:row>84</xdr:row>
      <xdr:rowOff>0</xdr:rowOff>
    </xdr:to>
    <xdr:sp macro="" textlink="">
      <xdr:nvSpPr>
        <xdr:cNvPr id="105" name="下箭头 104">
          <a:extLst>
            <a:ext uri="{FF2B5EF4-FFF2-40B4-BE49-F238E27FC236}">
              <a16:creationId xmlns:a16="http://schemas.microsoft.com/office/drawing/2014/main" id="{C33D244D-8322-E942-99B1-6579A2F8A97D}"/>
            </a:ext>
          </a:extLst>
        </xdr:cNvPr>
        <xdr:cNvSpPr/>
      </xdr:nvSpPr>
      <xdr:spPr>
        <a:xfrm flipH="1">
          <a:off x="2149281" y="9973917"/>
          <a:ext cx="101711" cy="186083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243840</xdr:colOff>
      <xdr:row>83</xdr:row>
      <xdr:rowOff>0</xdr:rowOff>
    </xdr:from>
    <xdr:to>
      <xdr:col>21</xdr:col>
      <xdr:colOff>66040</xdr:colOff>
      <xdr:row>84</xdr:row>
      <xdr:rowOff>12700</xdr:rowOff>
    </xdr:to>
    <xdr:sp macro="" textlink="">
      <xdr:nvSpPr>
        <xdr:cNvPr id="106" name="上箭头 105">
          <a:extLst>
            <a:ext uri="{FF2B5EF4-FFF2-40B4-BE49-F238E27FC236}">
              <a16:creationId xmlns:a16="http://schemas.microsoft.com/office/drawing/2014/main" id="{3C228573-47BB-B847-B3F0-9FF8FA3457A1}"/>
            </a:ext>
          </a:extLst>
        </xdr:cNvPr>
        <xdr:cNvSpPr/>
      </xdr:nvSpPr>
      <xdr:spPr>
        <a:xfrm>
          <a:off x="6461318" y="9961217"/>
          <a:ext cx="109331" cy="211483"/>
        </a:xfrm>
        <a:prstGeom prst="up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228600</xdr:colOff>
      <xdr:row>8</xdr:row>
      <xdr:rowOff>12700</xdr:rowOff>
    </xdr:from>
    <xdr:to>
      <xdr:col>0</xdr:col>
      <xdr:colOff>335281</xdr:colOff>
      <xdr:row>9</xdr:row>
      <xdr:rowOff>0</xdr:rowOff>
    </xdr:to>
    <xdr:sp macro="" textlink="">
      <xdr:nvSpPr>
        <xdr:cNvPr id="6" name="下箭头 5">
          <a:extLst>
            <a:ext uri="{FF2B5EF4-FFF2-40B4-BE49-F238E27FC236}">
              <a16:creationId xmlns:a16="http://schemas.microsoft.com/office/drawing/2014/main" id="{B52C7345-C1E0-6E45-85AD-CAD102A347A9}"/>
            </a:ext>
          </a:extLst>
        </xdr:cNvPr>
        <xdr:cNvSpPr/>
      </xdr:nvSpPr>
      <xdr:spPr>
        <a:xfrm flipH="1">
          <a:off x="1041400" y="1727200"/>
          <a:ext cx="106681" cy="190500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393700</xdr:colOff>
      <xdr:row>8</xdr:row>
      <xdr:rowOff>190500</xdr:rowOff>
    </xdr:from>
    <xdr:to>
      <xdr:col>0</xdr:col>
      <xdr:colOff>508000</xdr:colOff>
      <xdr:row>10</xdr:row>
      <xdr:rowOff>0</xdr:rowOff>
    </xdr:to>
    <xdr:sp macro="" textlink="">
      <xdr:nvSpPr>
        <xdr:cNvPr id="7" name="上箭头 6">
          <a:extLst>
            <a:ext uri="{FF2B5EF4-FFF2-40B4-BE49-F238E27FC236}">
              <a16:creationId xmlns:a16="http://schemas.microsoft.com/office/drawing/2014/main" id="{740B0BA0-0D5E-3742-A3D7-AF6E89FD285F}"/>
            </a:ext>
          </a:extLst>
        </xdr:cNvPr>
        <xdr:cNvSpPr/>
      </xdr:nvSpPr>
      <xdr:spPr>
        <a:xfrm>
          <a:off x="1206500" y="1905000"/>
          <a:ext cx="114300" cy="215900"/>
        </a:xfrm>
        <a:prstGeom prst="up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CAD5-88C4-6341-8858-D13884488A6E}">
  <dimension ref="A1:AC91"/>
  <sheetViews>
    <sheetView tabSelected="1" zoomScale="115" workbookViewId="0">
      <selection activeCell="H29" sqref="H29"/>
    </sheetView>
  </sheetViews>
  <sheetFormatPr baseColWidth="10" defaultColWidth="6.83203125" defaultRowHeight="16"/>
  <cols>
    <col min="1" max="1" width="10" customWidth="1"/>
    <col min="2" max="24" width="3.83203125" customWidth="1"/>
    <col min="25" max="25" width="8.33203125" customWidth="1"/>
    <col min="26" max="26" width="8.1640625" customWidth="1"/>
    <col min="27" max="27" width="8.5" customWidth="1"/>
    <col min="28" max="28" width="14.83203125" bestFit="1" customWidth="1"/>
    <col min="29" max="29" width="8.1640625" bestFit="1" customWidth="1"/>
  </cols>
  <sheetData>
    <row r="1" spans="1:27" ht="23">
      <c r="A1" s="31" t="s">
        <v>181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s="3" customFormat="1">
      <c r="A2" s="2" t="s">
        <v>0</v>
      </c>
      <c r="B2" s="30" t="s">
        <v>59</v>
      </c>
      <c r="C2" s="30"/>
      <c r="D2" s="30" t="s">
        <v>60</v>
      </c>
      <c r="E2" s="30"/>
      <c r="F2" s="30" t="s">
        <v>61</v>
      </c>
      <c r="G2" s="30"/>
      <c r="H2" s="30" t="s">
        <v>62</v>
      </c>
      <c r="I2" s="30"/>
      <c r="J2" s="30" t="s">
        <v>63</v>
      </c>
      <c r="K2" s="30"/>
      <c r="L2" s="30" t="s">
        <v>64</v>
      </c>
      <c r="M2" s="30"/>
      <c r="N2" s="30" t="s">
        <v>65</v>
      </c>
      <c r="O2" s="30"/>
      <c r="P2" s="30" t="s">
        <v>66</v>
      </c>
      <c r="Q2" s="30"/>
      <c r="R2" s="30" t="s">
        <v>67</v>
      </c>
      <c r="S2" s="30"/>
      <c r="T2" s="30" t="s">
        <v>68</v>
      </c>
      <c r="U2" s="30"/>
      <c r="V2" s="30" t="s">
        <v>69</v>
      </c>
      <c r="W2" s="30"/>
      <c r="X2" s="18" t="s">
        <v>70</v>
      </c>
      <c r="Y2" s="18" t="s">
        <v>183</v>
      </c>
      <c r="Z2" s="2" t="s">
        <v>4</v>
      </c>
      <c r="AA2" s="2" t="s">
        <v>5</v>
      </c>
    </row>
    <row r="3" spans="1:27">
      <c r="A3" s="1" t="s">
        <v>15</v>
      </c>
      <c r="B3" s="1"/>
      <c r="C3" s="1"/>
      <c r="D3" s="1"/>
      <c r="E3" s="1"/>
      <c r="F3" s="1"/>
      <c r="G3" s="7" t="s">
        <v>17</v>
      </c>
      <c r="H3" s="1"/>
      <c r="I3" s="7" t="s">
        <v>17</v>
      </c>
      <c r="J3" s="4" t="s">
        <v>16</v>
      </c>
      <c r="K3" s="4" t="s">
        <v>16</v>
      </c>
      <c r="L3" s="4" t="s">
        <v>16</v>
      </c>
      <c r="M3" s="4" t="s">
        <v>16</v>
      </c>
      <c r="N3" s="4" t="s">
        <v>16</v>
      </c>
      <c r="O3" s="4" t="s">
        <v>16</v>
      </c>
      <c r="P3" s="4" t="s">
        <v>16</v>
      </c>
      <c r="Q3" s="4" t="s">
        <v>16</v>
      </c>
      <c r="R3" s="4" t="s">
        <v>16</v>
      </c>
      <c r="S3" s="4" t="s">
        <v>16</v>
      </c>
      <c r="T3" s="4" t="s">
        <v>16</v>
      </c>
      <c r="U3" s="4" t="s">
        <v>16</v>
      </c>
      <c r="V3" s="1"/>
      <c r="W3" s="1"/>
      <c r="X3" s="1"/>
      <c r="Y3" s="5">
        <v>6</v>
      </c>
      <c r="Z3" s="5">
        <v>7</v>
      </c>
      <c r="AA3" s="6" t="e">
        <f>#REF!/Z3*100%</f>
        <v>#REF!</v>
      </c>
    </row>
    <row r="4" spans="1:27">
      <c r="Z4" s="24"/>
      <c r="AA4" s="25"/>
    </row>
    <row r="5" spans="1:27">
      <c r="A5" t="s">
        <v>192</v>
      </c>
      <c r="Z5" s="24"/>
      <c r="AA5" s="25"/>
    </row>
    <row r="6" spans="1:27">
      <c r="A6" t="s">
        <v>193</v>
      </c>
      <c r="B6" t="s">
        <v>188</v>
      </c>
      <c r="Z6" s="24"/>
      <c r="AA6" s="25"/>
    </row>
    <row r="7" spans="1:27">
      <c r="A7" s="26" t="s">
        <v>16</v>
      </c>
      <c r="B7" t="s">
        <v>187</v>
      </c>
      <c r="Z7" s="24"/>
      <c r="AA7" s="25"/>
    </row>
    <row r="8" spans="1:27">
      <c r="A8" s="8" t="s">
        <v>17</v>
      </c>
      <c r="B8" t="s">
        <v>186</v>
      </c>
      <c r="Z8" s="24"/>
      <c r="AA8" s="25"/>
    </row>
    <row r="9" spans="1:27">
      <c r="B9" t="s">
        <v>184</v>
      </c>
      <c r="Z9" s="24"/>
      <c r="AA9" s="25"/>
    </row>
    <row r="10" spans="1:27">
      <c r="B10" t="s">
        <v>185</v>
      </c>
      <c r="Z10" s="24"/>
      <c r="AA10" s="25"/>
    </row>
    <row r="11" spans="1:27">
      <c r="A11" t="s">
        <v>183</v>
      </c>
      <c r="B11" t="s">
        <v>189</v>
      </c>
      <c r="Z11" s="24"/>
      <c r="AA11" s="25"/>
    </row>
    <row r="12" spans="1:27">
      <c r="A12" t="s">
        <v>4</v>
      </c>
      <c r="B12" t="s">
        <v>190</v>
      </c>
    </row>
    <row r="13" spans="1:27">
      <c r="A13" t="s">
        <v>5</v>
      </c>
      <c r="B13" t="s">
        <v>191</v>
      </c>
    </row>
    <row r="15" spans="1:27" ht="18">
      <c r="A15" s="11" t="s">
        <v>171</v>
      </c>
      <c r="B15" s="11"/>
      <c r="C15" s="11"/>
    </row>
    <row r="16" spans="1:27">
      <c r="A16" s="3" t="s">
        <v>170</v>
      </c>
      <c r="B16" s="3" t="s">
        <v>176</v>
      </c>
      <c r="C16" s="3"/>
      <c r="D16" s="3"/>
      <c r="E16" s="3"/>
      <c r="F16" s="3"/>
      <c r="G16" s="3"/>
      <c r="H16" s="3" t="s">
        <v>23</v>
      </c>
    </row>
    <row r="17" spans="1:29">
      <c r="A17" s="3" t="s">
        <v>172</v>
      </c>
      <c r="B17" s="3" t="s">
        <v>177</v>
      </c>
      <c r="C17" s="3"/>
      <c r="D17" s="3"/>
      <c r="E17" s="3"/>
      <c r="F17" s="3"/>
      <c r="G17" s="3"/>
      <c r="H17" s="3" t="s">
        <v>182</v>
      </c>
    </row>
    <row r="18" spans="1:29">
      <c r="A18" s="3" t="s">
        <v>174</v>
      </c>
      <c r="B18" s="3" t="s">
        <v>178</v>
      </c>
      <c r="C18" s="3"/>
      <c r="D18" s="3"/>
      <c r="E18" s="3"/>
      <c r="F18" s="3"/>
      <c r="G18" s="3"/>
      <c r="H18" s="3" t="s">
        <v>182</v>
      </c>
    </row>
    <row r="19" spans="1:29">
      <c r="A19" s="3" t="s">
        <v>173</v>
      </c>
      <c r="B19" s="3" t="s">
        <v>179</v>
      </c>
      <c r="C19" s="3"/>
      <c r="D19" s="3"/>
      <c r="E19" s="3"/>
      <c r="F19" s="3"/>
      <c r="G19" s="3"/>
      <c r="H19" s="3" t="s">
        <v>23</v>
      </c>
    </row>
    <row r="20" spans="1:29">
      <c r="A20" s="3" t="s">
        <v>175</v>
      </c>
      <c r="B20" s="3" t="s">
        <v>180</v>
      </c>
      <c r="C20" s="3"/>
      <c r="D20" s="3"/>
      <c r="E20" s="3"/>
      <c r="F20" s="3"/>
      <c r="G20" s="3"/>
      <c r="H20" s="3" t="s">
        <v>23</v>
      </c>
    </row>
    <row r="22" spans="1:29" ht="18">
      <c r="A22" s="11" t="s">
        <v>18</v>
      </c>
    </row>
    <row r="23" spans="1:29" ht="18">
      <c r="A23" s="15" t="s">
        <v>19</v>
      </c>
      <c r="B23" s="29" t="s">
        <v>164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spans="1:29" s="3" customFormat="1">
      <c r="A24" s="2" t="s">
        <v>0</v>
      </c>
      <c r="B24" s="30" t="s">
        <v>6</v>
      </c>
      <c r="C24" s="30"/>
      <c r="D24" s="30" t="s">
        <v>7</v>
      </c>
      <c r="E24" s="30"/>
      <c r="F24" s="30" t="s">
        <v>3</v>
      </c>
      <c r="G24" s="30"/>
      <c r="H24" s="30" t="s">
        <v>1</v>
      </c>
      <c r="I24" s="30"/>
      <c r="J24" s="30" t="s">
        <v>2</v>
      </c>
      <c r="K24" s="30"/>
      <c r="L24" s="30" t="s">
        <v>8</v>
      </c>
      <c r="M24" s="30"/>
      <c r="N24" s="30" t="s">
        <v>9</v>
      </c>
      <c r="O24" s="30"/>
      <c r="P24" s="30" t="s">
        <v>10</v>
      </c>
      <c r="Q24" s="30"/>
      <c r="R24" s="30" t="s">
        <v>11</v>
      </c>
      <c r="S24" s="30"/>
      <c r="T24" s="30" t="s">
        <v>12</v>
      </c>
      <c r="U24" s="30"/>
      <c r="V24" s="30" t="s">
        <v>13</v>
      </c>
      <c r="W24" s="30"/>
      <c r="X24" s="18" t="s">
        <v>14</v>
      </c>
      <c r="Y24" s="18" t="s">
        <v>183</v>
      </c>
      <c r="Z24" s="2" t="s">
        <v>4</v>
      </c>
      <c r="AA24" s="2" t="s">
        <v>5</v>
      </c>
      <c r="AB24" s="2" t="s">
        <v>52</v>
      </c>
    </row>
    <row r="25" spans="1:29">
      <c r="A25" s="10" t="s">
        <v>86</v>
      </c>
      <c r="B25" s="1"/>
      <c r="C25" s="1"/>
      <c r="D25" s="1"/>
      <c r="E25" s="1"/>
      <c r="F25" s="1"/>
      <c r="G25" s="7" t="s">
        <v>17</v>
      </c>
      <c r="H25" s="7" t="s">
        <v>17</v>
      </c>
      <c r="I25" s="7" t="s">
        <v>17</v>
      </c>
      <c r="J25" s="4" t="s">
        <v>16</v>
      </c>
      <c r="K25" s="4" t="s">
        <v>16</v>
      </c>
      <c r="L25" s="4" t="s">
        <v>16</v>
      </c>
      <c r="M25" s="4" t="s">
        <v>16</v>
      </c>
      <c r="N25" s="4" t="s">
        <v>16</v>
      </c>
      <c r="O25" s="4" t="s">
        <v>16</v>
      </c>
      <c r="P25" s="4" t="s">
        <v>16</v>
      </c>
      <c r="Q25" s="4" t="s">
        <v>16</v>
      </c>
      <c r="R25" s="4" t="s">
        <v>16</v>
      </c>
      <c r="S25" s="4" t="s">
        <v>16</v>
      </c>
      <c r="T25" s="4" t="s">
        <v>16</v>
      </c>
      <c r="U25" s="4" t="s">
        <v>16</v>
      </c>
      <c r="V25" s="1"/>
      <c r="W25" s="1"/>
      <c r="X25" s="1"/>
      <c r="Y25" s="19">
        <v>6</v>
      </c>
      <c r="Z25" s="5">
        <v>7.5</v>
      </c>
      <c r="AA25" s="6">
        <f>Y25/Z25*100%</f>
        <v>0.8</v>
      </c>
      <c r="AB25" s="1" t="s">
        <v>53</v>
      </c>
      <c r="AC25" s="14"/>
    </row>
    <row r="26" spans="1:29">
      <c r="A26" s="10" t="s">
        <v>87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5"/>
      <c r="AA26" s="6" t="e">
        <f t="shared" ref="AA26:AA32" si="0">Y26/Z26*100%</f>
        <v>#DIV/0!</v>
      </c>
      <c r="AB26" s="1" t="s">
        <v>53</v>
      </c>
    </row>
    <row r="27" spans="1:29">
      <c r="A27" s="10" t="s">
        <v>88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5"/>
      <c r="AA27" s="6" t="e">
        <f t="shared" si="0"/>
        <v>#DIV/0!</v>
      </c>
      <c r="AB27" s="1" t="s">
        <v>53</v>
      </c>
    </row>
    <row r="28" spans="1:29">
      <c r="A28" s="10" t="s">
        <v>89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5"/>
      <c r="AA28" s="6" t="e">
        <f t="shared" si="0"/>
        <v>#DIV/0!</v>
      </c>
      <c r="AB28" s="1" t="s">
        <v>84</v>
      </c>
    </row>
    <row r="29" spans="1:29">
      <c r="A29" s="10" t="s">
        <v>90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5"/>
      <c r="AA29" s="6" t="e">
        <f t="shared" si="0"/>
        <v>#DIV/0!</v>
      </c>
      <c r="AB29" s="1" t="s">
        <v>53</v>
      </c>
    </row>
    <row r="30" spans="1:29">
      <c r="A30" s="10" t="s">
        <v>91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5"/>
      <c r="AA30" s="6" t="e">
        <f t="shared" si="0"/>
        <v>#DIV/0!</v>
      </c>
      <c r="AB30" s="1" t="s">
        <v>85</v>
      </c>
    </row>
    <row r="31" spans="1:29">
      <c r="A31" s="10" t="s">
        <v>92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5"/>
      <c r="AA31" s="6" t="e">
        <f t="shared" si="0"/>
        <v>#DIV/0!</v>
      </c>
      <c r="AB31" s="1" t="s">
        <v>84</v>
      </c>
    </row>
    <row r="32" spans="1:29">
      <c r="A32" s="10" t="s">
        <v>95</v>
      </c>
      <c r="B32" s="1"/>
      <c r="C32" s="1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7"/>
      <c r="Z32" s="16">
        <f>AVERAGE(Z24:Z31)</f>
        <v>7.5</v>
      </c>
      <c r="AA32" s="6">
        <f t="shared" si="0"/>
        <v>0</v>
      </c>
      <c r="AB32" s="1"/>
    </row>
    <row r="33" spans="1:28">
      <c r="Z33" s="12">
        <f>SUM(Z24:Z31)</f>
        <v>7.5</v>
      </c>
      <c r="AA33" s="13"/>
    </row>
    <row r="34" spans="1:28" ht="18">
      <c r="A34" s="15" t="s">
        <v>20</v>
      </c>
      <c r="B34" s="29" t="s">
        <v>165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spans="1:28" s="3" customFormat="1">
      <c r="A35" s="2" t="s">
        <v>0</v>
      </c>
      <c r="B35" s="30" t="s">
        <v>6</v>
      </c>
      <c r="C35" s="30"/>
      <c r="D35" s="30" t="s">
        <v>7</v>
      </c>
      <c r="E35" s="30"/>
      <c r="F35" s="30" t="s">
        <v>3</v>
      </c>
      <c r="G35" s="30"/>
      <c r="H35" s="30" t="s">
        <v>1</v>
      </c>
      <c r="I35" s="30"/>
      <c r="J35" s="30" t="s">
        <v>2</v>
      </c>
      <c r="K35" s="30"/>
      <c r="L35" s="30" t="s">
        <v>8</v>
      </c>
      <c r="M35" s="30"/>
      <c r="N35" s="30" t="s">
        <v>9</v>
      </c>
      <c r="O35" s="30"/>
      <c r="P35" s="30" t="s">
        <v>10</v>
      </c>
      <c r="Q35" s="30"/>
      <c r="R35" s="30" t="s">
        <v>11</v>
      </c>
      <c r="S35" s="30"/>
      <c r="T35" s="30" t="s">
        <v>12</v>
      </c>
      <c r="U35" s="30"/>
      <c r="V35" s="30" t="s">
        <v>13</v>
      </c>
      <c r="W35" s="30"/>
      <c r="X35" s="18" t="s">
        <v>14</v>
      </c>
      <c r="Y35" s="18" t="s">
        <v>183</v>
      </c>
      <c r="Z35" s="2" t="s">
        <v>4</v>
      </c>
      <c r="AA35" s="2" t="s">
        <v>5</v>
      </c>
      <c r="AB35" s="2" t="s">
        <v>52</v>
      </c>
    </row>
    <row r="36" spans="1:28">
      <c r="A36" s="10" t="s">
        <v>96</v>
      </c>
      <c r="B36" s="1"/>
      <c r="C36" s="1"/>
      <c r="D36" s="1"/>
      <c r="E36" s="1"/>
      <c r="F36" s="1"/>
      <c r="G36" s="7" t="s">
        <v>17</v>
      </c>
      <c r="H36" s="7" t="s">
        <v>17</v>
      </c>
      <c r="I36" s="7" t="s">
        <v>17</v>
      </c>
      <c r="J36" s="4" t="s">
        <v>16</v>
      </c>
      <c r="K36" s="4" t="s">
        <v>16</v>
      </c>
      <c r="L36" s="4" t="s">
        <v>16</v>
      </c>
      <c r="M36" s="4" t="s">
        <v>16</v>
      </c>
      <c r="N36" s="4" t="s">
        <v>16</v>
      </c>
      <c r="O36" s="4" t="s">
        <v>16</v>
      </c>
      <c r="P36" s="4" t="s">
        <v>16</v>
      </c>
      <c r="Q36" s="4" t="s">
        <v>16</v>
      </c>
      <c r="R36" s="4" t="s">
        <v>16</v>
      </c>
      <c r="S36" s="4" t="s">
        <v>16</v>
      </c>
      <c r="T36" s="4" t="s">
        <v>16</v>
      </c>
      <c r="U36" s="4" t="s">
        <v>16</v>
      </c>
      <c r="V36" s="1"/>
      <c r="W36" s="1"/>
      <c r="X36" s="1"/>
      <c r="Y36" s="19">
        <v>6</v>
      </c>
      <c r="Z36" s="5">
        <v>7.5</v>
      </c>
      <c r="AA36" s="6">
        <f>Y36/Z36*100%</f>
        <v>0.8</v>
      </c>
      <c r="AB36" s="1" t="s">
        <v>84</v>
      </c>
    </row>
    <row r="37" spans="1:28">
      <c r="A37" s="10" t="s">
        <v>97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5"/>
      <c r="AA37" s="6" t="e">
        <f t="shared" ref="AA37:AA43" si="1">Y37/Z37*100%</f>
        <v>#DIV/0!</v>
      </c>
      <c r="AB37" s="1" t="s">
        <v>93</v>
      </c>
    </row>
    <row r="38" spans="1:28">
      <c r="A38" s="10" t="s">
        <v>98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5"/>
      <c r="AA38" s="6" t="e">
        <f t="shared" si="1"/>
        <v>#DIV/0!</v>
      </c>
      <c r="AB38" s="1" t="s">
        <v>94</v>
      </c>
    </row>
    <row r="39" spans="1:28">
      <c r="A39" s="10" t="s">
        <v>99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5"/>
      <c r="AA39" s="6" t="e">
        <f t="shared" si="1"/>
        <v>#DIV/0!</v>
      </c>
      <c r="AB39" s="1" t="s">
        <v>84</v>
      </c>
    </row>
    <row r="40" spans="1:28">
      <c r="A40" s="10" t="s">
        <v>100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5"/>
      <c r="AA40" s="6" t="e">
        <f t="shared" si="1"/>
        <v>#DIV/0!</v>
      </c>
      <c r="AB40" s="1" t="s">
        <v>84</v>
      </c>
    </row>
    <row r="41" spans="1:28">
      <c r="A41" s="10" t="s">
        <v>101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"/>
      <c r="AA41" s="6" t="e">
        <f t="shared" si="1"/>
        <v>#DIV/0!</v>
      </c>
      <c r="AB41" s="1" t="s">
        <v>84</v>
      </c>
    </row>
    <row r="42" spans="1:28">
      <c r="A42" s="10" t="s">
        <v>102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5"/>
      <c r="AA42" s="6" t="e">
        <f t="shared" si="1"/>
        <v>#DIV/0!</v>
      </c>
      <c r="AB42" s="1" t="s">
        <v>84</v>
      </c>
    </row>
    <row r="43" spans="1:28">
      <c r="A43" s="10" t="s">
        <v>95</v>
      </c>
      <c r="B43" s="1"/>
      <c r="C43" s="1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7"/>
      <c r="Z43" s="16">
        <f>AVERAGE(Z35:Z42)</f>
        <v>7.5</v>
      </c>
      <c r="AA43" s="6">
        <f t="shared" si="1"/>
        <v>0</v>
      </c>
      <c r="AB43" s="1"/>
    </row>
    <row r="44" spans="1:28">
      <c r="Z44" s="12">
        <f>SUM(Z35:Z42)</f>
        <v>7.5</v>
      </c>
    </row>
    <row r="46" spans="1:28" ht="18">
      <c r="A46" s="15" t="s">
        <v>21</v>
      </c>
      <c r="B46" s="29" t="s">
        <v>166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spans="1:28" s="3" customFormat="1">
      <c r="A47" s="2" t="s">
        <v>0</v>
      </c>
      <c r="B47" s="30" t="s">
        <v>6</v>
      </c>
      <c r="C47" s="30"/>
      <c r="D47" s="30" t="s">
        <v>7</v>
      </c>
      <c r="E47" s="30"/>
      <c r="F47" s="30" t="s">
        <v>3</v>
      </c>
      <c r="G47" s="30"/>
      <c r="H47" s="30" t="s">
        <v>1</v>
      </c>
      <c r="I47" s="30"/>
      <c r="J47" s="30" t="s">
        <v>2</v>
      </c>
      <c r="K47" s="30"/>
      <c r="L47" s="30" t="s">
        <v>8</v>
      </c>
      <c r="M47" s="30"/>
      <c r="N47" s="30" t="s">
        <v>9</v>
      </c>
      <c r="O47" s="30"/>
      <c r="P47" s="30" t="s">
        <v>10</v>
      </c>
      <c r="Q47" s="30"/>
      <c r="R47" s="30" t="s">
        <v>11</v>
      </c>
      <c r="S47" s="30"/>
      <c r="T47" s="30" t="s">
        <v>12</v>
      </c>
      <c r="U47" s="30"/>
      <c r="V47" s="30" t="s">
        <v>13</v>
      </c>
      <c r="W47" s="30"/>
      <c r="X47" s="18" t="s">
        <v>14</v>
      </c>
      <c r="Y47" s="18" t="s">
        <v>183</v>
      </c>
      <c r="Z47" s="2" t="s">
        <v>4</v>
      </c>
      <c r="AA47" s="2" t="s">
        <v>5</v>
      </c>
      <c r="AB47" s="2" t="s">
        <v>52</v>
      </c>
    </row>
    <row r="48" spans="1:28">
      <c r="A48" s="10" t="s">
        <v>105</v>
      </c>
      <c r="B48" s="1"/>
      <c r="C48" s="1"/>
      <c r="D48" s="1"/>
      <c r="E48" s="1"/>
      <c r="F48" s="1"/>
      <c r="G48" s="7" t="s">
        <v>17</v>
      </c>
      <c r="H48" s="7" t="s">
        <v>17</v>
      </c>
      <c r="I48" s="7" t="s">
        <v>17</v>
      </c>
      <c r="J48" s="4" t="s">
        <v>16</v>
      </c>
      <c r="K48" s="4" t="s">
        <v>16</v>
      </c>
      <c r="L48" s="4" t="s">
        <v>16</v>
      </c>
      <c r="M48" s="4" t="s">
        <v>16</v>
      </c>
      <c r="N48" s="4" t="s">
        <v>16</v>
      </c>
      <c r="O48" s="4" t="s">
        <v>16</v>
      </c>
      <c r="P48" s="4" t="s">
        <v>16</v>
      </c>
      <c r="Q48" s="4" t="s">
        <v>16</v>
      </c>
      <c r="R48" s="4" t="s">
        <v>16</v>
      </c>
      <c r="S48" s="4" t="s">
        <v>16</v>
      </c>
      <c r="T48" s="4" t="s">
        <v>16</v>
      </c>
      <c r="U48" s="4" t="s">
        <v>16</v>
      </c>
      <c r="V48" s="1"/>
      <c r="W48" s="1"/>
      <c r="X48" s="1"/>
      <c r="Y48" s="19">
        <v>6</v>
      </c>
      <c r="Z48" s="5">
        <v>7.5</v>
      </c>
      <c r="AA48" s="42">
        <f>Y48/Z48*100%</f>
        <v>0.8</v>
      </c>
      <c r="AB48" s="1" t="s">
        <v>84</v>
      </c>
    </row>
    <row r="49" spans="1:28">
      <c r="A49" s="10" t="s">
        <v>106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5"/>
      <c r="AA49" s="42" t="e">
        <f t="shared" ref="AA49:AA55" si="2">Y49/Z49*100%</f>
        <v>#DIV/0!</v>
      </c>
      <c r="AB49" s="1" t="s">
        <v>84</v>
      </c>
    </row>
    <row r="50" spans="1:28">
      <c r="A50" s="10" t="s">
        <v>107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5"/>
      <c r="AA50" s="42" t="e">
        <f t="shared" si="2"/>
        <v>#DIV/0!</v>
      </c>
      <c r="AB50" s="1" t="s">
        <v>85</v>
      </c>
    </row>
    <row r="51" spans="1:28">
      <c r="A51" s="10" t="s">
        <v>108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5"/>
      <c r="AA51" s="42" t="e">
        <f t="shared" si="2"/>
        <v>#DIV/0!</v>
      </c>
      <c r="AB51" s="1" t="s">
        <v>85</v>
      </c>
    </row>
    <row r="52" spans="1:28">
      <c r="A52" s="10" t="s">
        <v>109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5"/>
      <c r="AA52" s="42" t="e">
        <f t="shared" si="2"/>
        <v>#DIV/0!</v>
      </c>
      <c r="AB52" s="1" t="s">
        <v>94</v>
      </c>
    </row>
    <row r="53" spans="1:28">
      <c r="A53" s="10" t="s">
        <v>110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5"/>
      <c r="AA53" s="42" t="e">
        <f t="shared" si="2"/>
        <v>#DIV/0!</v>
      </c>
      <c r="AB53" s="1" t="s">
        <v>94</v>
      </c>
    </row>
    <row r="54" spans="1:28">
      <c r="A54" s="10" t="s">
        <v>111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5"/>
      <c r="AA54" s="42" t="e">
        <f t="shared" si="2"/>
        <v>#DIV/0!</v>
      </c>
      <c r="AB54" s="1" t="s">
        <v>85</v>
      </c>
    </row>
    <row r="55" spans="1:28">
      <c r="A55" s="10" t="s">
        <v>95</v>
      </c>
      <c r="B55" s="1"/>
      <c r="C55" s="1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7"/>
      <c r="Z55" s="16">
        <f>AVERAGE(Z47:Z54)</f>
        <v>7.5</v>
      </c>
      <c r="AA55" s="42">
        <f t="shared" si="2"/>
        <v>0</v>
      </c>
      <c r="AB55" s="1"/>
    </row>
    <row r="56" spans="1:28">
      <c r="Z56" s="12">
        <f>SUM(Z47:Z54)</f>
        <v>7.5</v>
      </c>
    </row>
    <row r="58" spans="1:28" ht="18">
      <c r="A58" s="15" t="s">
        <v>22</v>
      </c>
      <c r="B58" s="29" t="s">
        <v>167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spans="1:28" s="3" customFormat="1">
      <c r="A59" s="2" t="s">
        <v>0</v>
      </c>
      <c r="B59" s="30" t="s">
        <v>6</v>
      </c>
      <c r="C59" s="30"/>
      <c r="D59" s="30" t="s">
        <v>7</v>
      </c>
      <c r="E59" s="30"/>
      <c r="F59" s="30" t="s">
        <v>3</v>
      </c>
      <c r="G59" s="30"/>
      <c r="H59" s="30" t="s">
        <v>1</v>
      </c>
      <c r="I59" s="30"/>
      <c r="J59" s="30" t="s">
        <v>2</v>
      </c>
      <c r="K59" s="30"/>
      <c r="L59" s="30" t="s">
        <v>8</v>
      </c>
      <c r="M59" s="30"/>
      <c r="N59" s="30" t="s">
        <v>9</v>
      </c>
      <c r="O59" s="30"/>
      <c r="P59" s="30" t="s">
        <v>10</v>
      </c>
      <c r="Q59" s="30"/>
      <c r="R59" s="30" t="s">
        <v>11</v>
      </c>
      <c r="S59" s="30"/>
      <c r="T59" s="30" t="s">
        <v>12</v>
      </c>
      <c r="U59" s="30"/>
      <c r="V59" s="30" t="s">
        <v>13</v>
      </c>
      <c r="W59" s="30"/>
      <c r="X59" s="18" t="s">
        <v>14</v>
      </c>
      <c r="Y59" s="18" t="s">
        <v>183</v>
      </c>
      <c r="Z59" s="2" t="s">
        <v>4</v>
      </c>
      <c r="AA59" s="2" t="s">
        <v>5</v>
      </c>
      <c r="AB59" s="2" t="s">
        <v>52</v>
      </c>
    </row>
    <row r="60" spans="1:28">
      <c r="A60" s="10" t="s">
        <v>126</v>
      </c>
      <c r="B60" s="1"/>
      <c r="C60" s="1"/>
      <c r="D60" s="1"/>
      <c r="E60" s="1"/>
      <c r="F60" s="1"/>
      <c r="G60" s="7" t="s">
        <v>17</v>
      </c>
      <c r="H60" s="7" t="s">
        <v>17</v>
      </c>
      <c r="I60" s="7" t="s">
        <v>17</v>
      </c>
      <c r="J60" s="4" t="s">
        <v>16</v>
      </c>
      <c r="K60" s="4" t="s">
        <v>16</v>
      </c>
      <c r="L60" s="4" t="s">
        <v>16</v>
      </c>
      <c r="M60" s="4" t="s">
        <v>16</v>
      </c>
      <c r="N60" s="4" t="s">
        <v>16</v>
      </c>
      <c r="O60" s="4" t="s">
        <v>16</v>
      </c>
      <c r="P60" s="4" t="s">
        <v>16</v>
      </c>
      <c r="Q60" s="4" t="s">
        <v>16</v>
      </c>
      <c r="R60" s="4" t="s">
        <v>16</v>
      </c>
      <c r="S60" s="4" t="s">
        <v>16</v>
      </c>
      <c r="T60" s="4" t="s">
        <v>16</v>
      </c>
      <c r="U60" s="4" t="s">
        <v>16</v>
      </c>
      <c r="V60" s="1"/>
      <c r="W60" s="1"/>
      <c r="X60" s="1"/>
      <c r="Y60" s="19">
        <v>6</v>
      </c>
      <c r="Z60" s="5">
        <v>7.5</v>
      </c>
      <c r="AA60" s="6">
        <f>Y60/Z60*100%</f>
        <v>0.8</v>
      </c>
      <c r="AB60" s="1" t="s">
        <v>94</v>
      </c>
    </row>
    <row r="61" spans="1:28">
      <c r="A61" s="10" t="s">
        <v>127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5"/>
      <c r="AA61" s="6" t="e">
        <f t="shared" ref="AA61:AA66" si="3">Y61/Z61*100%</f>
        <v>#DIV/0!</v>
      </c>
      <c r="AB61" s="1" t="s">
        <v>84</v>
      </c>
    </row>
    <row r="62" spans="1:28">
      <c r="A62" s="10" t="s">
        <v>128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5"/>
      <c r="AA62" s="6" t="e">
        <f t="shared" si="3"/>
        <v>#DIV/0!</v>
      </c>
      <c r="AB62" s="1" t="s">
        <v>94</v>
      </c>
    </row>
    <row r="63" spans="1:28">
      <c r="A63" s="10" t="s">
        <v>129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5"/>
      <c r="AA63" s="6" t="e">
        <f t="shared" si="3"/>
        <v>#DIV/0!</v>
      </c>
      <c r="AB63" s="1" t="s">
        <v>94</v>
      </c>
    </row>
    <row r="64" spans="1:28">
      <c r="A64" s="10" t="s">
        <v>130</v>
      </c>
      <c r="B64" s="1"/>
      <c r="C64" s="1"/>
      <c r="D64" s="1"/>
      <c r="E64" s="9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5"/>
      <c r="AA64" s="6" t="e">
        <f t="shared" si="3"/>
        <v>#DIV/0!</v>
      </c>
      <c r="AB64" s="1" t="s">
        <v>84</v>
      </c>
    </row>
    <row r="65" spans="1:28">
      <c r="A65" s="10" t="s">
        <v>131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5"/>
      <c r="AA65" s="6" t="e">
        <f t="shared" si="3"/>
        <v>#DIV/0!</v>
      </c>
      <c r="AB65" s="1" t="s">
        <v>94</v>
      </c>
    </row>
    <row r="66" spans="1:28">
      <c r="A66" s="10" t="s">
        <v>132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5"/>
      <c r="AA66" s="6" t="e">
        <f t="shared" si="3"/>
        <v>#DIV/0!</v>
      </c>
      <c r="AB66" s="1" t="s">
        <v>94</v>
      </c>
    </row>
    <row r="67" spans="1:28">
      <c r="A67" s="10" t="s">
        <v>95</v>
      </c>
      <c r="B67" s="1"/>
      <c r="C67" s="1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7"/>
      <c r="Z67" s="16">
        <f>AVERAGE(Z59:Z66)</f>
        <v>7.5</v>
      </c>
      <c r="AA67" s="17" t="e">
        <f>AVERAGE(AA59:AA66)</f>
        <v>#DIV/0!</v>
      </c>
      <c r="AB67" s="1"/>
    </row>
    <row r="68" spans="1:28">
      <c r="Z68" s="12"/>
    </row>
    <row r="70" spans="1:28" ht="18">
      <c r="A70" s="15" t="s">
        <v>133</v>
      </c>
      <c r="B70" s="29" t="s">
        <v>168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spans="1:28" s="3" customFormat="1">
      <c r="A71" s="2" t="s">
        <v>0</v>
      </c>
      <c r="B71" s="30" t="s">
        <v>6</v>
      </c>
      <c r="C71" s="30"/>
      <c r="D71" s="30" t="s">
        <v>7</v>
      </c>
      <c r="E71" s="30"/>
      <c r="F71" s="30" t="s">
        <v>3</v>
      </c>
      <c r="G71" s="30"/>
      <c r="H71" s="30" t="s">
        <v>1</v>
      </c>
      <c r="I71" s="30"/>
      <c r="J71" s="30" t="s">
        <v>2</v>
      </c>
      <c r="K71" s="30"/>
      <c r="L71" s="30" t="s">
        <v>8</v>
      </c>
      <c r="M71" s="30"/>
      <c r="N71" s="30" t="s">
        <v>9</v>
      </c>
      <c r="O71" s="30"/>
      <c r="P71" s="30" t="s">
        <v>10</v>
      </c>
      <c r="Q71" s="30"/>
      <c r="R71" s="30" t="s">
        <v>11</v>
      </c>
      <c r="S71" s="30"/>
      <c r="T71" s="30" t="s">
        <v>12</v>
      </c>
      <c r="U71" s="30"/>
      <c r="V71" s="30" t="s">
        <v>13</v>
      </c>
      <c r="W71" s="30"/>
      <c r="X71" s="18" t="s">
        <v>14</v>
      </c>
      <c r="Y71" s="18" t="s">
        <v>183</v>
      </c>
      <c r="Z71" s="2" t="s">
        <v>4</v>
      </c>
      <c r="AA71" s="2" t="s">
        <v>5</v>
      </c>
      <c r="AB71" s="2" t="s">
        <v>52</v>
      </c>
    </row>
    <row r="72" spans="1:28">
      <c r="A72" s="10" t="s">
        <v>141</v>
      </c>
      <c r="B72" s="1"/>
      <c r="C72" s="1"/>
      <c r="D72" s="1"/>
      <c r="E72" s="1"/>
      <c r="F72" s="1"/>
      <c r="G72" s="7" t="s">
        <v>17</v>
      </c>
      <c r="H72" s="7" t="s">
        <v>17</v>
      </c>
      <c r="I72" s="7" t="s">
        <v>17</v>
      </c>
      <c r="J72" s="4" t="s">
        <v>16</v>
      </c>
      <c r="K72" s="4" t="s">
        <v>16</v>
      </c>
      <c r="L72" s="4" t="s">
        <v>16</v>
      </c>
      <c r="M72" s="4" t="s">
        <v>16</v>
      </c>
      <c r="N72" s="4" t="s">
        <v>16</v>
      </c>
      <c r="O72" s="4" t="s">
        <v>16</v>
      </c>
      <c r="P72" s="4" t="s">
        <v>16</v>
      </c>
      <c r="Q72" s="4" t="s">
        <v>16</v>
      </c>
      <c r="R72" s="4" t="s">
        <v>16</v>
      </c>
      <c r="S72" s="4" t="s">
        <v>16</v>
      </c>
      <c r="T72" s="4" t="s">
        <v>16</v>
      </c>
      <c r="U72" s="4" t="s">
        <v>16</v>
      </c>
      <c r="V72" s="1"/>
      <c r="W72" s="1"/>
      <c r="X72" s="1"/>
      <c r="Y72" s="19">
        <v>6</v>
      </c>
      <c r="Z72" s="5">
        <v>7.5</v>
      </c>
      <c r="AA72" s="6">
        <f>Y72/Z72*100%</f>
        <v>0.8</v>
      </c>
      <c r="AB72" s="1" t="s">
        <v>94</v>
      </c>
    </row>
    <row r="73" spans="1:28">
      <c r="A73" s="10" t="s">
        <v>142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5"/>
      <c r="AA73" s="6" t="e">
        <f t="shared" ref="AA73:AA78" si="4">Y73/Z73*100%</f>
        <v>#DIV/0!</v>
      </c>
      <c r="AB73" s="1" t="s">
        <v>94</v>
      </c>
    </row>
    <row r="74" spans="1:28" ht="15" customHeight="1">
      <c r="A74" s="10" t="s">
        <v>143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5"/>
      <c r="AA74" s="6" t="e">
        <f t="shared" si="4"/>
        <v>#DIV/0!</v>
      </c>
      <c r="AB74" s="1" t="s">
        <v>84</v>
      </c>
    </row>
    <row r="75" spans="1:28">
      <c r="A75" s="10" t="s">
        <v>144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5"/>
      <c r="AA75" s="6" t="e">
        <f t="shared" si="4"/>
        <v>#DIV/0!</v>
      </c>
      <c r="AB75" s="1" t="s">
        <v>94</v>
      </c>
    </row>
    <row r="76" spans="1:28">
      <c r="A76" s="10" t="s">
        <v>145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5"/>
      <c r="AA76" s="6" t="e">
        <f t="shared" si="4"/>
        <v>#DIV/0!</v>
      </c>
      <c r="AB76" s="1" t="s">
        <v>84</v>
      </c>
    </row>
    <row r="77" spans="1:28">
      <c r="A77" s="10" t="s">
        <v>146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5"/>
      <c r="AA77" s="6" t="e">
        <f t="shared" si="4"/>
        <v>#DIV/0!</v>
      </c>
      <c r="AB77" s="1" t="s">
        <v>94</v>
      </c>
    </row>
    <row r="78" spans="1:28">
      <c r="A78" s="10" t="s">
        <v>147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5"/>
      <c r="AA78" s="6" t="e">
        <f t="shared" si="4"/>
        <v>#DIV/0!</v>
      </c>
      <c r="AB78" s="1" t="s">
        <v>94</v>
      </c>
    </row>
    <row r="79" spans="1:28">
      <c r="A79" s="10" t="s">
        <v>95</v>
      </c>
      <c r="B79" s="1"/>
      <c r="C79" s="1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7"/>
      <c r="Z79" s="16">
        <f>AVERAGE(Z71:Z78)</f>
        <v>7.5</v>
      </c>
      <c r="AA79" s="17" t="e">
        <f>AVERAGE(AA71:AA78)</f>
        <v>#DIV/0!</v>
      </c>
      <c r="AB79" s="1"/>
    </row>
    <row r="82" spans="1:28" ht="18">
      <c r="A82" s="15" t="s">
        <v>156</v>
      </c>
      <c r="B82" s="29" t="s">
        <v>169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 spans="1:28" s="3" customFormat="1">
      <c r="A83" s="2" t="s">
        <v>0</v>
      </c>
      <c r="B83" s="30" t="s">
        <v>6</v>
      </c>
      <c r="C83" s="30"/>
      <c r="D83" s="30" t="s">
        <v>7</v>
      </c>
      <c r="E83" s="30"/>
      <c r="F83" s="30" t="s">
        <v>3</v>
      </c>
      <c r="G83" s="30"/>
      <c r="H83" s="30" t="s">
        <v>1</v>
      </c>
      <c r="I83" s="30"/>
      <c r="J83" s="30" t="s">
        <v>2</v>
      </c>
      <c r="K83" s="30"/>
      <c r="L83" s="30" t="s">
        <v>8</v>
      </c>
      <c r="M83" s="30"/>
      <c r="N83" s="30" t="s">
        <v>9</v>
      </c>
      <c r="O83" s="30"/>
      <c r="P83" s="30" t="s">
        <v>10</v>
      </c>
      <c r="Q83" s="30"/>
      <c r="R83" s="30" t="s">
        <v>11</v>
      </c>
      <c r="S83" s="30"/>
      <c r="T83" s="30" t="s">
        <v>12</v>
      </c>
      <c r="U83" s="30"/>
      <c r="V83" s="30" t="s">
        <v>13</v>
      </c>
      <c r="W83" s="30"/>
      <c r="X83" s="18" t="s">
        <v>14</v>
      </c>
      <c r="Y83" s="18" t="s">
        <v>183</v>
      </c>
      <c r="Z83" s="2" t="s">
        <v>4</v>
      </c>
      <c r="AA83" s="2" t="s">
        <v>5</v>
      </c>
      <c r="AB83" s="2" t="s">
        <v>52</v>
      </c>
    </row>
    <row r="84" spans="1:28">
      <c r="A84" s="10" t="s">
        <v>141</v>
      </c>
      <c r="B84" s="1"/>
      <c r="C84" s="1"/>
      <c r="D84" s="1"/>
      <c r="E84" s="1"/>
      <c r="F84" s="9"/>
      <c r="G84" s="7" t="s">
        <v>17</v>
      </c>
      <c r="H84" s="7" t="s">
        <v>17</v>
      </c>
      <c r="I84" s="7" t="s">
        <v>17</v>
      </c>
      <c r="J84" s="4" t="s">
        <v>16</v>
      </c>
      <c r="K84" s="4" t="s">
        <v>16</v>
      </c>
      <c r="L84" s="4" t="s">
        <v>16</v>
      </c>
      <c r="M84" s="4" t="s">
        <v>16</v>
      </c>
      <c r="N84" s="4" t="s">
        <v>16</v>
      </c>
      <c r="O84" s="4" t="s">
        <v>16</v>
      </c>
      <c r="P84" s="4" t="s">
        <v>16</v>
      </c>
      <c r="Q84" s="4" t="s">
        <v>16</v>
      </c>
      <c r="R84" s="4" t="s">
        <v>16</v>
      </c>
      <c r="S84" s="4" t="s">
        <v>16</v>
      </c>
      <c r="T84" s="4" t="s">
        <v>16</v>
      </c>
      <c r="U84" s="4" t="s">
        <v>16</v>
      </c>
      <c r="V84" s="1"/>
      <c r="W84" s="1"/>
      <c r="X84" s="1"/>
      <c r="Y84" s="19">
        <v>6</v>
      </c>
      <c r="Z84" s="5">
        <v>7.5</v>
      </c>
      <c r="AA84" s="6">
        <f>Y84/Z84*100%</f>
        <v>0.8</v>
      </c>
      <c r="AB84" s="1" t="s">
        <v>84</v>
      </c>
    </row>
    <row r="85" spans="1:28">
      <c r="A85" s="10" t="s">
        <v>142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5"/>
      <c r="AA85" s="6" t="e">
        <f t="shared" ref="AA85:AA90" si="5">Y85/Z85*100%</f>
        <v>#DIV/0!</v>
      </c>
      <c r="AB85" s="1" t="s">
        <v>94</v>
      </c>
    </row>
    <row r="86" spans="1:28">
      <c r="A86" s="10" t="s">
        <v>143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5"/>
      <c r="AA86" s="6" t="e">
        <f t="shared" si="5"/>
        <v>#DIV/0!</v>
      </c>
      <c r="AB86" s="1" t="s">
        <v>84</v>
      </c>
    </row>
    <row r="87" spans="1:28">
      <c r="A87" s="10" t="s">
        <v>144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5"/>
      <c r="AA87" s="6" t="e">
        <f t="shared" si="5"/>
        <v>#DIV/0!</v>
      </c>
      <c r="AB87" s="1" t="s">
        <v>94</v>
      </c>
    </row>
    <row r="88" spans="1:28">
      <c r="A88" s="10" t="s">
        <v>145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5"/>
      <c r="AA88" s="6" t="e">
        <f t="shared" si="5"/>
        <v>#DIV/0!</v>
      </c>
      <c r="AB88" s="1" t="s">
        <v>94</v>
      </c>
    </row>
    <row r="89" spans="1:28">
      <c r="A89" s="10" t="s">
        <v>146</v>
      </c>
      <c r="B89" s="1"/>
      <c r="C89" s="1"/>
      <c r="D89" s="1"/>
      <c r="E89" s="1"/>
      <c r="F89" s="1"/>
      <c r="G89" s="1"/>
      <c r="H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5"/>
      <c r="AA89" s="6" t="e">
        <f t="shared" si="5"/>
        <v>#DIV/0!</v>
      </c>
      <c r="AB89" s="1" t="s">
        <v>84</v>
      </c>
    </row>
    <row r="90" spans="1:28">
      <c r="A90" s="10" t="s">
        <v>147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5"/>
      <c r="AA90" s="6" t="e">
        <f t="shared" si="5"/>
        <v>#DIV/0!</v>
      </c>
      <c r="AB90" s="1" t="s">
        <v>94</v>
      </c>
    </row>
    <row r="91" spans="1:28">
      <c r="A91" s="10" t="s">
        <v>95</v>
      </c>
      <c r="B91" s="1"/>
      <c r="C91" s="1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7"/>
      <c r="Z91" s="16">
        <f>AVERAGE(Z83:Z90)</f>
        <v>7.5</v>
      </c>
      <c r="AA91" s="17" t="e">
        <f>AVERAGE(AA83:AA90)</f>
        <v>#DIV/0!</v>
      </c>
      <c r="AB91" s="1"/>
    </row>
  </sheetData>
  <mergeCells count="90">
    <mergeCell ref="D55:X55"/>
    <mergeCell ref="B46:AB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D43:X43"/>
    <mergeCell ref="B34:AB34"/>
    <mergeCell ref="F2:G2"/>
    <mergeCell ref="H2:I2"/>
    <mergeCell ref="J2:K2"/>
    <mergeCell ref="L2:M2"/>
    <mergeCell ref="N2:O2"/>
    <mergeCell ref="P2:Q2"/>
    <mergeCell ref="L24:M24"/>
    <mergeCell ref="N24:O24"/>
    <mergeCell ref="P24:Q24"/>
    <mergeCell ref="R24:S24"/>
    <mergeCell ref="T24:U24"/>
    <mergeCell ref="V24:W24"/>
    <mergeCell ref="H24:I24"/>
    <mergeCell ref="J24:K24"/>
    <mergeCell ref="B23:AB23"/>
    <mergeCell ref="R2:S2"/>
    <mergeCell ref="A1:AA1"/>
    <mergeCell ref="B24:C24"/>
    <mergeCell ref="D24:E24"/>
    <mergeCell ref="B2:C2"/>
    <mergeCell ref="D2:E2"/>
    <mergeCell ref="F24:G24"/>
    <mergeCell ref="T2:U2"/>
    <mergeCell ref="V2:W2"/>
    <mergeCell ref="P35:Q35"/>
    <mergeCell ref="R35:S35"/>
    <mergeCell ref="T35:U35"/>
    <mergeCell ref="B35:C35"/>
    <mergeCell ref="D35:E35"/>
    <mergeCell ref="F35:G35"/>
    <mergeCell ref="H35:I35"/>
    <mergeCell ref="J35:K35"/>
    <mergeCell ref="V35:W35"/>
    <mergeCell ref="D32:X32"/>
    <mergeCell ref="B58:AB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L35:M35"/>
    <mergeCell ref="N35:O35"/>
    <mergeCell ref="D67:X67"/>
    <mergeCell ref="B70:AB70"/>
    <mergeCell ref="B71:C71"/>
    <mergeCell ref="D71:E71"/>
    <mergeCell ref="F71:G71"/>
    <mergeCell ref="H71:I71"/>
    <mergeCell ref="J71:K71"/>
    <mergeCell ref="L71:M71"/>
    <mergeCell ref="N71:O71"/>
    <mergeCell ref="P71:Q71"/>
    <mergeCell ref="R71:S71"/>
    <mergeCell ref="T71:U71"/>
    <mergeCell ref="V71:W71"/>
    <mergeCell ref="D91:X91"/>
    <mergeCell ref="D79:X79"/>
    <mergeCell ref="B82:AB82"/>
    <mergeCell ref="B83:C83"/>
    <mergeCell ref="D83:E83"/>
    <mergeCell ref="F83:G83"/>
    <mergeCell ref="H83:I83"/>
    <mergeCell ref="J83:K83"/>
    <mergeCell ref="L83:M83"/>
    <mergeCell ref="N83:O83"/>
    <mergeCell ref="P83:Q83"/>
    <mergeCell ref="R83:S83"/>
    <mergeCell ref="T83:U83"/>
    <mergeCell ref="V83:W83"/>
  </mergeCells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03ED-23BD-604E-8603-1D25D5A1A01A}">
  <dimension ref="A1:AY20"/>
  <sheetViews>
    <sheetView workbookViewId="0">
      <pane xSplit="8" ySplit="1" topLeftCell="I2" activePane="bottomRight" state="frozen"/>
      <selection pane="topRight" activeCell="I1" sqref="I1"/>
      <selection pane="bottomLeft" activeCell="A3" sqref="A3"/>
      <selection pane="bottomRight" activeCell="J3" sqref="J3"/>
    </sheetView>
  </sheetViews>
  <sheetFormatPr baseColWidth="10" defaultRowHeight="16"/>
  <cols>
    <col min="8" max="8" width="10.83203125" customWidth="1"/>
    <col min="9" max="9" width="13.33203125" customWidth="1"/>
    <col min="10" max="11" width="13" customWidth="1"/>
    <col min="12" max="12" width="15" customWidth="1"/>
    <col min="13" max="13" width="14.6640625" customWidth="1"/>
    <col min="14" max="14" width="13.1640625" customWidth="1"/>
    <col min="15" max="15" width="13.83203125" customWidth="1"/>
    <col min="16" max="17" width="12.83203125" customWidth="1"/>
    <col min="18" max="19" width="12.5" customWidth="1"/>
    <col min="20" max="20" width="14.5" customWidth="1"/>
    <col min="21" max="21" width="14.1640625" customWidth="1"/>
    <col min="22" max="22" width="12.83203125" customWidth="1"/>
    <col min="23" max="23" width="12.6640625" customWidth="1"/>
    <col min="24" max="30" width="10.83203125" customWidth="1"/>
    <col min="31" max="31" width="12.1640625" customWidth="1"/>
    <col min="32" max="45" width="10.83203125" customWidth="1"/>
  </cols>
  <sheetData>
    <row r="1" spans="1:51" ht="21">
      <c r="A1" s="38" t="s">
        <v>158</v>
      </c>
      <c r="B1" s="39"/>
      <c r="C1" s="39"/>
      <c r="D1" s="39"/>
      <c r="E1" s="39"/>
      <c r="F1" s="39"/>
      <c r="G1" s="39"/>
      <c r="H1" s="39"/>
      <c r="I1" s="40"/>
      <c r="J1" s="37" t="s">
        <v>83</v>
      </c>
      <c r="K1" s="37"/>
      <c r="L1" s="37"/>
      <c r="M1" s="37"/>
      <c r="N1" s="37"/>
      <c r="O1" s="37"/>
      <c r="P1" s="37"/>
      <c r="Q1" s="28" t="s">
        <v>75</v>
      </c>
      <c r="R1" s="28"/>
      <c r="S1" s="28"/>
      <c r="T1" s="28"/>
      <c r="U1" s="28"/>
      <c r="V1" s="28"/>
      <c r="W1" s="28"/>
      <c r="X1" s="32" t="s">
        <v>103</v>
      </c>
      <c r="Y1" s="33"/>
      <c r="Z1" s="33"/>
      <c r="AA1" s="33"/>
      <c r="AB1" s="33"/>
      <c r="AC1" s="33"/>
      <c r="AD1" s="34"/>
      <c r="AE1" s="32" t="s">
        <v>125</v>
      </c>
      <c r="AF1" s="33"/>
      <c r="AG1" s="33"/>
      <c r="AH1" s="33"/>
      <c r="AI1" s="33"/>
      <c r="AJ1" s="33"/>
      <c r="AK1" s="34"/>
      <c r="AL1" s="32" t="s">
        <v>149</v>
      </c>
      <c r="AM1" s="33"/>
      <c r="AN1" s="33"/>
      <c r="AO1" s="33"/>
      <c r="AP1" s="33"/>
      <c r="AQ1" s="33"/>
      <c r="AR1" s="34"/>
      <c r="AS1" s="32" t="s">
        <v>148</v>
      </c>
      <c r="AT1" s="33"/>
      <c r="AU1" s="33"/>
      <c r="AV1" s="33"/>
      <c r="AW1" s="33"/>
      <c r="AX1" s="33"/>
      <c r="AY1" s="34"/>
    </row>
    <row r="2" spans="1:51" ht="16" customHeight="1">
      <c r="A2" s="1"/>
      <c r="B2" s="32"/>
      <c r="C2" s="33"/>
      <c r="D2" s="33"/>
      <c r="E2" s="33"/>
      <c r="F2" s="33"/>
      <c r="G2" s="33"/>
      <c r="H2" s="34"/>
      <c r="I2" s="19" t="s">
        <v>58</v>
      </c>
      <c r="J2" s="21">
        <v>45763</v>
      </c>
      <c r="K2" s="21">
        <v>45764</v>
      </c>
      <c r="L2" s="21">
        <v>45765</v>
      </c>
      <c r="M2" s="21">
        <v>45766</v>
      </c>
      <c r="N2" s="21">
        <v>45767</v>
      </c>
      <c r="O2" s="21">
        <v>45768</v>
      </c>
      <c r="P2" s="21">
        <v>45769</v>
      </c>
      <c r="Q2" s="21">
        <v>45770</v>
      </c>
      <c r="R2" s="21">
        <v>45771</v>
      </c>
      <c r="S2" s="21">
        <v>45772</v>
      </c>
      <c r="T2" s="21">
        <v>45773</v>
      </c>
      <c r="U2" s="21">
        <v>45774</v>
      </c>
      <c r="V2" s="21">
        <v>45775</v>
      </c>
      <c r="W2" s="21">
        <v>45776</v>
      </c>
      <c r="X2" s="21">
        <v>45777</v>
      </c>
      <c r="Y2" s="21">
        <v>45778</v>
      </c>
      <c r="Z2" s="21">
        <v>45779</v>
      </c>
      <c r="AA2" s="21">
        <v>45780</v>
      </c>
      <c r="AB2" s="21">
        <v>45781</v>
      </c>
      <c r="AC2" s="21">
        <v>45782</v>
      </c>
      <c r="AD2" s="21">
        <v>45783</v>
      </c>
      <c r="AE2" s="21">
        <v>45784</v>
      </c>
      <c r="AF2" s="21">
        <v>45785</v>
      </c>
      <c r="AG2" s="21">
        <v>45786</v>
      </c>
      <c r="AH2" s="21">
        <v>45787</v>
      </c>
      <c r="AI2" s="21">
        <v>45788</v>
      </c>
      <c r="AJ2" s="21">
        <v>45789</v>
      </c>
      <c r="AK2" s="21">
        <v>45790</v>
      </c>
      <c r="AL2" s="21">
        <v>45791</v>
      </c>
      <c r="AM2" s="21">
        <v>45792</v>
      </c>
      <c r="AN2" s="21">
        <v>45793</v>
      </c>
      <c r="AO2" s="21">
        <v>45794</v>
      </c>
      <c r="AP2" s="21">
        <v>45795</v>
      </c>
      <c r="AQ2" s="21">
        <v>45796</v>
      </c>
      <c r="AR2" s="21">
        <v>45797</v>
      </c>
      <c r="AS2" s="21">
        <v>45798</v>
      </c>
      <c r="AT2" s="21">
        <v>45799</v>
      </c>
      <c r="AU2" s="21">
        <v>45800</v>
      </c>
      <c r="AV2" s="21">
        <v>45801</v>
      </c>
      <c r="AW2" s="21">
        <v>45802</v>
      </c>
      <c r="AX2" s="21">
        <v>45803</v>
      </c>
      <c r="AY2" s="21">
        <v>45804</v>
      </c>
    </row>
    <row r="3" spans="1:51" ht="18" customHeight="1">
      <c r="A3" s="22" t="s">
        <v>71</v>
      </c>
      <c r="B3" s="35" t="s">
        <v>72</v>
      </c>
      <c r="C3" s="36"/>
      <c r="D3" s="36"/>
      <c r="E3" s="36"/>
      <c r="F3" s="36"/>
      <c r="G3" s="36"/>
      <c r="H3" s="36"/>
      <c r="I3" s="20" t="s">
        <v>159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76</v>
      </c>
      <c r="R3" s="1" t="s">
        <v>77</v>
      </c>
      <c r="S3" s="1" t="s">
        <v>78</v>
      </c>
      <c r="T3" s="1" t="s">
        <v>79</v>
      </c>
      <c r="U3" s="1" t="s">
        <v>80</v>
      </c>
      <c r="V3" s="1" t="s">
        <v>81</v>
      </c>
      <c r="W3" s="1" t="s">
        <v>82</v>
      </c>
      <c r="X3" s="1" t="s">
        <v>104</v>
      </c>
      <c r="Y3" s="1" t="s">
        <v>104</v>
      </c>
      <c r="Z3" s="1" t="s">
        <v>112</v>
      </c>
      <c r="AA3" s="1" t="s">
        <v>113</v>
      </c>
      <c r="AB3" s="1" t="s">
        <v>114</v>
      </c>
      <c r="AC3" s="1" t="s">
        <v>115</v>
      </c>
      <c r="AD3" s="1" t="s">
        <v>118</v>
      </c>
      <c r="AE3" s="1" t="s">
        <v>117</v>
      </c>
      <c r="AF3" s="1" t="s">
        <v>116</v>
      </c>
      <c r="AG3" s="1" t="s">
        <v>119</v>
      </c>
      <c r="AH3" s="1" t="s">
        <v>120</v>
      </c>
      <c r="AI3" s="1" t="s">
        <v>121</v>
      </c>
      <c r="AJ3" s="1" t="s">
        <v>122</v>
      </c>
      <c r="AK3" s="1" t="s">
        <v>123</v>
      </c>
      <c r="AL3" s="1" t="s">
        <v>124</v>
      </c>
      <c r="AM3" s="1" t="s">
        <v>134</v>
      </c>
      <c r="AN3" s="1" t="s">
        <v>135</v>
      </c>
      <c r="AO3" s="1" t="s">
        <v>136</v>
      </c>
      <c r="AP3" s="1" t="s">
        <v>137</v>
      </c>
      <c r="AQ3" s="1" t="s">
        <v>138</v>
      </c>
      <c r="AR3" s="1" t="s">
        <v>139</v>
      </c>
      <c r="AS3" s="1" t="s">
        <v>140</v>
      </c>
      <c r="AT3" s="1" t="s">
        <v>150</v>
      </c>
      <c r="AU3" s="1" t="s">
        <v>151</v>
      </c>
      <c r="AV3" s="1" t="s">
        <v>152</v>
      </c>
      <c r="AW3" s="1" t="s">
        <v>153</v>
      </c>
      <c r="AX3" s="1" t="s">
        <v>154</v>
      </c>
      <c r="AY3" s="1" t="s">
        <v>155</v>
      </c>
    </row>
    <row r="4" spans="1:51" ht="18">
      <c r="A4" s="41" t="s">
        <v>33</v>
      </c>
      <c r="B4" s="35" t="s">
        <v>160</v>
      </c>
      <c r="C4" s="36"/>
      <c r="D4" s="36"/>
      <c r="E4" s="36"/>
      <c r="F4" s="36"/>
      <c r="G4" s="36"/>
      <c r="H4" s="36"/>
      <c r="I4" s="1" t="s">
        <v>46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t="18">
      <c r="A5" s="41"/>
      <c r="B5" s="35" t="s">
        <v>24</v>
      </c>
      <c r="C5" s="36"/>
      <c r="D5" s="36"/>
      <c r="E5" s="36"/>
      <c r="F5" s="36"/>
      <c r="G5" s="36"/>
      <c r="H5" s="36"/>
      <c r="I5" s="1" t="s">
        <v>46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18">
      <c r="A6" s="41"/>
      <c r="B6" s="35" t="s">
        <v>25</v>
      </c>
      <c r="C6" s="36"/>
      <c r="D6" s="36"/>
      <c r="E6" s="36"/>
      <c r="F6" s="36"/>
      <c r="G6" s="36"/>
      <c r="H6" s="36"/>
      <c r="I6" s="1" t="s">
        <v>47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t="18">
      <c r="A7" s="41"/>
      <c r="B7" s="35" t="s">
        <v>26</v>
      </c>
      <c r="C7" s="36"/>
      <c r="D7" s="36"/>
      <c r="E7" s="36"/>
      <c r="F7" s="36"/>
      <c r="G7" s="36"/>
      <c r="H7" s="36"/>
      <c r="I7" s="1" t="s">
        <v>46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18">
      <c r="A8" s="41"/>
      <c r="B8" s="35" t="s">
        <v>27</v>
      </c>
      <c r="C8" s="36"/>
      <c r="D8" s="36"/>
      <c r="E8" s="36"/>
      <c r="F8" s="36"/>
      <c r="G8" s="36"/>
      <c r="H8" s="36"/>
      <c r="I8" s="7" t="s">
        <v>49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t="18">
      <c r="A9" s="41"/>
      <c r="B9" s="35" t="s">
        <v>34</v>
      </c>
      <c r="C9" s="36"/>
      <c r="D9" s="36"/>
      <c r="E9" s="36"/>
      <c r="F9" s="36"/>
      <c r="G9" s="36"/>
      <c r="H9" s="36"/>
      <c r="I9" s="1" t="s">
        <v>47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18">
      <c r="A10" s="22" t="s">
        <v>31</v>
      </c>
      <c r="B10" s="35" t="s">
        <v>73</v>
      </c>
      <c r="C10" s="36"/>
      <c r="D10" s="36"/>
      <c r="E10" s="36"/>
      <c r="F10" s="36"/>
      <c r="G10" s="36"/>
      <c r="H10" s="36"/>
      <c r="I10" s="7" t="s">
        <v>48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t="18">
      <c r="A11" s="22" t="s">
        <v>32</v>
      </c>
      <c r="B11" s="35" t="s">
        <v>28</v>
      </c>
      <c r="C11" s="36"/>
      <c r="D11" s="36"/>
      <c r="E11" s="36"/>
      <c r="F11" s="36"/>
      <c r="G11" s="36"/>
      <c r="H11" s="36"/>
      <c r="I11" s="1" t="s">
        <v>46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t="18">
      <c r="A12" s="22" t="s">
        <v>36</v>
      </c>
      <c r="B12" s="35" t="s">
        <v>37</v>
      </c>
      <c r="C12" s="36"/>
      <c r="D12" s="36"/>
      <c r="E12" s="36"/>
      <c r="F12" s="36"/>
      <c r="G12" s="36"/>
      <c r="H12" s="36"/>
      <c r="I12" s="1" t="s">
        <v>46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ht="18">
      <c r="A13" s="22" t="s">
        <v>35</v>
      </c>
      <c r="B13" s="35" t="s">
        <v>74</v>
      </c>
      <c r="C13" s="36"/>
      <c r="D13" s="36"/>
      <c r="E13" s="36"/>
      <c r="F13" s="36"/>
      <c r="G13" s="36"/>
      <c r="H13" s="36"/>
      <c r="I13" s="1" t="s">
        <v>46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ht="18">
      <c r="A14" s="22" t="s">
        <v>55</v>
      </c>
      <c r="B14" s="35" t="s">
        <v>56</v>
      </c>
      <c r="C14" s="36"/>
      <c r="D14" s="36"/>
      <c r="E14" s="36"/>
      <c r="F14" s="36"/>
      <c r="G14" s="36"/>
      <c r="H14" s="36"/>
      <c r="I14" s="1" t="s">
        <v>57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ht="18">
      <c r="A15" s="22" t="s">
        <v>30</v>
      </c>
      <c r="B15" s="35" t="s">
        <v>29</v>
      </c>
      <c r="C15" s="36"/>
      <c r="D15" s="36"/>
      <c r="E15" s="36"/>
      <c r="F15" s="36"/>
      <c r="G15" s="36"/>
      <c r="H15" s="36"/>
      <c r="I15" s="1" t="s">
        <v>54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t="18">
      <c r="A16" s="23" t="s">
        <v>50</v>
      </c>
      <c r="B16" s="35" t="s">
        <v>38</v>
      </c>
      <c r="C16" s="36"/>
      <c r="D16" s="36"/>
      <c r="E16" s="36"/>
      <c r="F16" s="36"/>
      <c r="G16" s="36"/>
      <c r="H16" s="36"/>
      <c r="I16" s="7" t="s">
        <v>51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8" spans="1:2" ht="24">
      <c r="A18" t="s">
        <v>157</v>
      </c>
      <c r="B18" t="s">
        <v>161</v>
      </c>
    </row>
    <row r="19" spans="1:2" ht="24">
      <c r="B19" t="s">
        <v>162</v>
      </c>
    </row>
    <row r="20" spans="1:2">
      <c r="B20" t="s">
        <v>163</v>
      </c>
    </row>
  </sheetData>
  <mergeCells count="23">
    <mergeCell ref="AE1:AK1"/>
    <mergeCell ref="AL1:AR1"/>
    <mergeCell ref="AS1:AY1"/>
    <mergeCell ref="A1:I1"/>
    <mergeCell ref="B16:H16"/>
    <mergeCell ref="B10:H10"/>
    <mergeCell ref="B11:H11"/>
    <mergeCell ref="B12:H12"/>
    <mergeCell ref="B13:H13"/>
    <mergeCell ref="B14:H14"/>
    <mergeCell ref="B15:H15"/>
    <mergeCell ref="A4:A9"/>
    <mergeCell ref="B4:H4"/>
    <mergeCell ref="B5:H5"/>
    <mergeCell ref="B6:H6"/>
    <mergeCell ref="B7:H7"/>
    <mergeCell ref="X1:AD1"/>
    <mergeCell ref="B8:H8"/>
    <mergeCell ref="B9:H9"/>
    <mergeCell ref="J1:P1"/>
    <mergeCell ref="Q1:W1"/>
    <mergeCell ref="B2:H2"/>
    <mergeCell ref="B3:H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睡眠日记</vt:lpstr>
      <vt:lpstr>睡眠卫生自检表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a54412</dc:creator>
  <cp:lastModifiedBy>a54412</cp:lastModifiedBy>
  <dcterms:created xsi:type="dcterms:W3CDTF">2025-03-06T07:39:06Z</dcterms:created>
  <dcterms:modified xsi:type="dcterms:W3CDTF">2025-06-23T15:41:42Z</dcterms:modified>
</cp:coreProperties>
</file>